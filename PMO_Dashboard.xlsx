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لوحة التحكم" sheetId="1" state="visible" r:id="rId1"/>
    <sheet name="الموظفون" sheetId="2" state="visible" r:id="rId2"/>
    <sheet name="المهام الأسبوعية" sheetId="3" state="visible" r:id="rId3"/>
    <sheet name="الحضور والغياب" sheetId="4" state="visible" r:id="rId4"/>
    <sheet name="الأهداف السنوية" sheetId="5" state="visible" r:id="rId5"/>
    <sheet name="تقرير الطباعة" sheetId="6" state="visible" r:id="rId6"/>
    <sheet name="المشاريع" sheetId="7" state="visible" r:id="rId7"/>
    <sheet name="تقييم الأداء" sheetId="8" state="visible" r:id="rId8"/>
  </sheets>
  <definedNames>
    <definedName name="_xlnm.Print_Area" localSheetId="5">'تقرير الطباعة'!$A$1:$G$95</definedName>
  </definedNames>
  <calcPr calcId="124519" fullCalcOnLoad="1"/>
</workbook>
</file>

<file path=xl/styles.xml><?xml version="1.0" encoding="utf-8"?>
<styleSheet xmlns="http://schemas.openxmlformats.org/spreadsheetml/2006/main">
  <numFmts count="0"/>
  <fonts count="42">
    <font>
      <name val="Calibri"/>
      <family val="2"/>
      <color theme="1"/>
      <sz val="11"/>
      <scheme val="minor"/>
    </font>
    <font>
      <name val="Calibri"/>
      <b val="1"/>
      <color rgb="000A5C5F"/>
      <sz val="20"/>
    </font>
    <font>
      <name val="Calibri"/>
      <b val="1"/>
      <color rgb="000D7377"/>
      <sz val="14"/>
    </font>
    <font>
      <name val="Calibri"/>
      <b val="1"/>
      <color rgb="00FFFFFF"/>
      <sz val="16"/>
    </font>
    <font>
      <name val="Calibri"/>
      <b val="1"/>
      <color rgb="00FFFFFF"/>
      <sz val="11"/>
    </font>
    <font>
      <name val="Calibri"/>
      <b val="1"/>
      <color rgb="001565C0"/>
      <sz val="20"/>
    </font>
    <font>
      <name val="Calibri"/>
      <b val="1"/>
      <color rgb="0043A047"/>
      <sz val="20"/>
    </font>
    <font>
      <name val="Calibri"/>
      <b val="1"/>
      <color rgb="00FB8C00"/>
      <sz val="20"/>
    </font>
    <font>
      <name val="Calibri"/>
      <b val="1"/>
      <color rgb="000D7377"/>
      <sz val="20"/>
    </font>
    <font>
      <name val="Calibri"/>
      <b val="1"/>
      <color rgb="00FFFFFF"/>
      <sz val="12"/>
    </font>
    <font>
      <name val="Calibri"/>
      <color rgb="00333333"/>
      <sz val="11"/>
    </font>
    <font>
      <name val="Calibri"/>
      <b val="1"/>
      <color rgb="000A5C5F"/>
      <sz val="11"/>
    </font>
    <font>
      <name val="Calibri"/>
      <b val="1"/>
      <color rgb="001565C0"/>
      <sz val="14"/>
    </font>
    <font>
      <name val="Calibri"/>
      <b val="1"/>
      <color rgb="00FB8C00"/>
      <sz val="11"/>
    </font>
    <font>
      <name val="Calibri"/>
      <b val="1"/>
      <color rgb="000A5C5F"/>
      <sz val="14"/>
    </font>
    <font>
      <name val="Calibri"/>
      <b val="1"/>
      <color rgb="00333333"/>
      <sz val="10"/>
    </font>
    <font>
      <name val="Calibri"/>
      <b val="1"/>
      <color rgb="000A5C5F"/>
      <sz val="16"/>
    </font>
    <font>
      <name val="Calibri"/>
      <b val="1"/>
      <color rgb="00FFFFFF"/>
      <sz val="14"/>
    </font>
    <font>
      <name val="Calibri"/>
      <color rgb="0043A047"/>
      <sz val="12"/>
    </font>
    <font>
      <name val="Calibri"/>
      <b val="1"/>
      <color rgb="0043A047"/>
      <sz val="11"/>
    </font>
    <font>
      <name val="Calibri"/>
      <b val="1"/>
      <color rgb="000A5C5F"/>
      <sz val="12"/>
    </font>
    <font>
      <name val="Calibri"/>
      <color rgb="00FB8C00"/>
      <sz val="11"/>
    </font>
    <font>
      <name val="Calibri"/>
      <b val="1"/>
      <color rgb="00FFFFFF"/>
      <sz val="10"/>
    </font>
    <font>
      <name val="Calibri"/>
      <color rgb="000D7377"/>
      <sz val="10"/>
    </font>
    <font>
      <name val="Calibri"/>
      <b val="1"/>
      <color rgb="000A5C5F"/>
      <sz val="13"/>
    </font>
    <font>
      <name val="Segoe UI Emoji"/>
      <sz val="16"/>
    </font>
    <font>
      <name val="Calibri"/>
      <b val="1"/>
      <color rgb="0043A047"/>
      <sz val="10"/>
    </font>
    <font>
      <name val="Calibri"/>
      <b val="1"/>
      <color rgb="00E53935"/>
      <sz val="10"/>
    </font>
    <font>
      <name val="Calibri"/>
      <b val="1"/>
      <color rgb="00FB8C00"/>
      <sz val="10"/>
    </font>
    <font>
      <name val="Calibri"/>
      <b val="1"/>
      <color rgb="002E7D32"/>
      <sz val="10"/>
    </font>
    <font>
      <name val="Calibri"/>
      <b val="1"/>
      <color rgb="001565C0"/>
      <sz val="10"/>
    </font>
    <font>
      <name val="Calibri"/>
      <b val="1"/>
      <color rgb="007B1FA2"/>
      <sz val="10"/>
    </font>
    <font>
      <name val="Calibri"/>
      <b val="1"/>
      <color rgb="00FFFFFF"/>
      <sz val="13"/>
    </font>
    <font>
      <name val="Calibri"/>
      <b val="1"/>
      <color rgb="000A5C5F"/>
      <sz val="10"/>
    </font>
    <font>
      <name val="Calibri"/>
      <b val="1"/>
      <color rgb="00FFFFFF"/>
      <sz val="8"/>
    </font>
    <font>
      <name val="Calibri"/>
      <b val="1"/>
      <color rgb="000A5C5F"/>
      <sz val="9"/>
    </font>
    <font>
      <name val="Segoe UI Emoji"/>
      <sz val="14"/>
    </font>
    <font>
      <name val="Calibri"/>
      <b val="1"/>
      <color rgb="00C62828"/>
      <sz val="12"/>
    </font>
    <font>
      <name val="Calibri"/>
      <b val="1"/>
      <color rgb="001565C0"/>
      <sz val="12"/>
    </font>
    <font>
      <name val="Calibri"/>
      <color rgb="00FB8C00"/>
      <sz val="10"/>
    </font>
    <font>
      <name val="Calibri"/>
      <i val="1"/>
      <color rgb="00BDBDBD"/>
      <sz val="10"/>
    </font>
    <font>
      <name val="Calibri"/>
      <b val="1"/>
      <color rgb="00333333"/>
      <sz val="12"/>
    </font>
  </fonts>
  <fills count="11">
    <fill>
      <patternFill/>
    </fill>
    <fill>
      <patternFill patternType="gray125"/>
    </fill>
    <fill>
      <patternFill patternType="solid">
        <fgColor rgb="000A5C5F"/>
      </patternFill>
    </fill>
    <fill>
      <patternFill patternType="solid">
        <fgColor rgb="00E0F2F1"/>
      </patternFill>
    </fill>
    <fill>
      <patternFill patternType="solid">
        <fgColor rgb="001565C0"/>
      </patternFill>
    </fill>
    <fill>
      <patternFill patternType="solid">
        <fgColor rgb="00F5F5F5"/>
      </patternFill>
    </fill>
    <fill>
      <patternFill patternType="solid">
        <fgColor rgb="0043A047"/>
      </patternFill>
    </fill>
    <fill>
      <patternFill patternType="solid">
        <fgColor rgb="00FB8C00"/>
      </patternFill>
    </fill>
    <fill>
      <patternFill patternType="solid">
        <fgColor rgb="000D7377"/>
      </patternFill>
    </fill>
    <fill>
      <patternFill patternType="solid">
        <fgColor rgb="00C62828"/>
      </patternFill>
    </fill>
    <fill>
      <patternFill patternType="solid">
        <fgColor rgb="00FFFFFF"/>
      </patternFill>
    </fill>
  </fills>
  <borders count="10">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
      <left style="thin">
        <color rgb="00BDBDBD"/>
      </left>
      <right/>
      <top/>
      <bottom/>
      <diagonal/>
    </border>
    <border>
      <left style="thin">
        <color rgb="00BDBDBD"/>
      </left>
      <right style="thin">
        <color rgb="00BDBDBD"/>
      </right>
      <top/>
      <bottom/>
      <diagonal/>
    </border>
    <border>
      <left style="thin">
        <color rgb="00BDBDBD"/>
      </left>
      <right style="thin">
        <color rgb="00BDBDBD"/>
      </right>
      <top/>
      <bottom style="thin">
        <color rgb="00BDBDBD"/>
      </bottom>
      <diagonal/>
    </border>
    <border>
      <bottom style="thick">
        <color rgb="000A5C5F"/>
      </bottom>
    </border>
  </borders>
  <cellStyleXfs count="1">
    <xf numFmtId="0" fontId="0" fillId="0" borderId="0"/>
  </cellStyleXfs>
  <cellXfs count="62">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0"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6" fillId="0" borderId="0" applyAlignment="1" pivotButton="0" quotePrefix="0" xfId="0">
      <alignment horizontal="right" vertical="center"/>
    </xf>
    <xf numFmtId="0" fontId="17" fillId="2" borderId="1" applyAlignment="1" pivotButton="0" quotePrefix="0" xfId="0">
      <alignment horizontal="center" vertical="center" wrapText="1"/>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0" applyAlignment="1" pivotButton="0" quotePrefix="0" xfId="0">
      <alignment horizontal="right" vertical="center"/>
    </xf>
    <xf numFmtId="0" fontId="21" fillId="0" borderId="0" applyAlignment="1" pivotButton="0" quotePrefix="0" xfId="0">
      <alignment horizontal="right" vertical="center"/>
    </xf>
    <xf numFmtId="0" fontId="4" fillId="8" borderId="1" applyAlignment="1" pivotButton="0" quotePrefix="0" xfId="0">
      <alignment horizontal="right" vertical="center" wrapText="1"/>
    </xf>
    <xf numFmtId="0" fontId="22" fillId="8" borderId="1" applyAlignment="1" pivotButton="0" quotePrefix="0" xfId="0">
      <alignment horizontal="center" vertical="center" wrapText="1"/>
    </xf>
    <xf numFmtId="0" fontId="23" fillId="0" borderId="1" applyAlignment="1" pivotButton="0" quotePrefix="0" xfId="0">
      <alignment horizontal="center" vertical="center" wrapText="1"/>
    </xf>
    <xf numFmtId="0" fontId="24" fillId="0" borderId="0" applyAlignment="1" pivotButton="0" quotePrefix="0" xfId="0">
      <alignment horizontal="right" vertical="center"/>
    </xf>
    <xf numFmtId="0" fontId="25" fillId="0" borderId="0" applyAlignment="1" pivotButton="0" quotePrefix="0" xfId="0">
      <alignment horizontal="center" vertical="center" wrapText="1"/>
    </xf>
    <xf numFmtId="0" fontId="26" fillId="0" borderId="0" applyAlignment="1" pivotButton="0" quotePrefix="0" xfId="0">
      <alignment horizontal="right" vertical="center"/>
    </xf>
    <xf numFmtId="0" fontId="27" fillId="0" borderId="0" applyAlignment="1" pivotButton="0" quotePrefix="0" xfId="0">
      <alignment horizontal="right" vertical="center"/>
    </xf>
    <xf numFmtId="0" fontId="28" fillId="0" borderId="0" applyAlignment="1" pivotButton="0" quotePrefix="0" xfId="0">
      <alignment horizontal="right" vertical="center"/>
    </xf>
    <xf numFmtId="0" fontId="29" fillId="0" borderId="0" applyAlignment="1" pivotButton="0" quotePrefix="0" xfId="0">
      <alignment horizontal="right" vertical="center"/>
    </xf>
    <xf numFmtId="0" fontId="30" fillId="0" borderId="0" applyAlignment="1" pivotButton="0" quotePrefix="0" xfId="0">
      <alignment horizontal="right" vertical="center"/>
    </xf>
    <xf numFmtId="0" fontId="31" fillId="0" borderId="0" applyAlignment="1" pivotButton="0" quotePrefix="0" xfId="0">
      <alignment horizontal="right" vertical="center"/>
    </xf>
    <xf numFmtId="0" fontId="32" fillId="8" borderId="1" applyAlignment="1" pivotButton="0" quotePrefix="0" xfId="0">
      <alignment horizontal="center" vertical="center" wrapText="1"/>
    </xf>
    <xf numFmtId="0" fontId="22" fillId="2" borderId="1" applyAlignment="1" pivotButton="0" quotePrefix="0" xfId="0">
      <alignment horizontal="center" vertical="center" wrapText="1"/>
    </xf>
    <xf numFmtId="0" fontId="33" fillId="0" borderId="1" applyAlignment="1" pivotButton="0" quotePrefix="0" xfId="0">
      <alignment horizontal="center" vertical="center" wrapText="1"/>
    </xf>
    <xf numFmtId="0" fontId="34" fillId="8" borderId="1" applyAlignment="1" pivotButton="0" quotePrefix="0" xfId="0">
      <alignment horizontal="center" vertical="center" wrapText="1"/>
    </xf>
    <xf numFmtId="0" fontId="3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3" fillId="9" borderId="1" applyAlignment="1" pivotButton="0" quotePrefix="0" xfId="0">
      <alignment horizontal="center" vertical="center" wrapText="1"/>
    </xf>
    <xf numFmtId="0" fontId="37" fillId="0" borderId="0" applyAlignment="1" pivotButton="0" quotePrefix="0" xfId="0">
      <alignment horizontal="center" vertical="center"/>
    </xf>
    <xf numFmtId="0" fontId="9" fillId="9" borderId="1" applyAlignment="1" pivotButton="0" quotePrefix="0" xfId="0">
      <alignment horizontal="center" vertical="center" wrapText="1"/>
    </xf>
    <xf numFmtId="0" fontId="38" fillId="0" borderId="9" applyAlignment="1" pivotButton="0" quotePrefix="0" xfId="0">
      <alignment horizontal="center" vertical="center" wrapText="1"/>
    </xf>
    <xf numFmtId="0" fontId="9" fillId="8" borderId="1" applyAlignment="1" pivotButton="0" quotePrefix="0" xfId="0">
      <alignment horizontal="center" vertical="center" wrapText="1"/>
    </xf>
    <xf numFmtId="0" fontId="11" fillId="0" borderId="1" applyAlignment="1" pivotButton="0" quotePrefix="0" xfId="0">
      <alignment horizontal="right" vertical="center"/>
    </xf>
    <xf numFmtId="0" fontId="39" fillId="0" borderId="1" applyAlignment="1" pivotButton="0" quotePrefix="0" xfId="0">
      <alignment horizontal="center" vertical="center" wrapText="1"/>
    </xf>
    <xf numFmtId="0" fontId="40" fillId="0" borderId="0" applyAlignment="1" pivotButton="0" quotePrefix="0" xfId="0">
      <alignment horizontal="center" vertical="center"/>
    </xf>
    <xf numFmtId="0" fontId="28" fillId="0" borderId="1" applyAlignment="1" pivotButton="0" quotePrefix="0" xfId="0">
      <alignment horizontal="center" vertical="center" wrapText="1"/>
    </xf>
    <xf numFmtId="0" fontId="41"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1" fillId="3" borderId="1" applyAlignment="1" pivotButton="0" quotePrefix="0" xfId="0">
      <alignment horizontal="center" vertical="center" wrapText="1"/>
    </xf>
    <xf numFmtId="0" fontId="10" fillId="3" borderId="1" applyAlignment="1" pivotButton="0" quotePrefix="0" xfId="0">
      <alignment horizontal="right" vertical="center" wrapText="1"/>
    </xf>
    <xf numFmtId="0" fontId="41" fillId="10" borderId="1" applyAlignment="1" pivotButton="0" quotePrefix="0" xfId="0">
      <alignment horizontal="center" vertical="center" wrapText="1"/>
    </xf>
    <xf numFmtId="0" fontId="16" fillId="10" borderId="1" applyAlignment="1" pivotButton="0" quotePrefix="0" xfId="0">
      <alignment horizontal="center" vertical="center" wrapText="1"/>
    </xf>
    <xf numFmtId="0" fontId="11" fillId="10" borderId="1" applyAlignment="1" pivotButton="0" quotePrefix="0" xfId="0">
      <alignment horizontal="center" vertical="center" wrapText="1"/>
    </xf>
    <xf numFmtId="0" fontId="10" fillId="10" borderId="1" applyAlignment="1" pivotButton="0" quotePrefix="0" xfId="0">
      <alignment horizontal="right" vertical="center" wrapText="1"/>
    </xf>
  </cellXfs>
  <cellStyles count="1">
    <cellStyle name="Normal" xfId="0" builtinId="0" hidden="0"/>
  </cellStyles>
  <dxfs count="3">
    <dxf>
      <fill>
        <patternFill patternType="solid">
          <fgColor rgb="00C8E6C9"/>
        </patternFill>
      </fill>
    </dxf>
    <dxf>
      <fill>
        <patternFill patternType="solid">
          <fgColor rgb="00FFCDD2"/>
        </patternFill>
      </fill>
    </dxf>
    <dxf>
      <fill>
        <patternFill patternType="solid">
          <fgColor rgb="00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عدد المشاريع لكل موظف</a:t>
            </a:r>
          </a:p>
        </rich>
      </tx>
    </title>
    <plotArea>
      <barChart>
        <barDir val="col"/>
        <grouping val="clustered"/>
        <ser>
          <idx val="0"/>
          <order val="0"/>
          <spPr>
            <a:solidFill>
              <a:srgbClr val="0D7377"/>
            </a:solidFill>
            <a:ln>
              <a:prstDash val="solid"/>
            </a:ln>
          </spPr>
          <cat>
            <numRef>
              <f>'لوحة التحكم'!$B$18:$B$22</f>
            </numRef>
          </cat>
          <val>
            <numRef>
              <f>'لوحة التحكم'!$C$18:$C$22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عدد المشاريع</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image" Target="/xl/media/image1.jpeg" Id="rId2"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_rels/drawing5.xml.rels><Relationships xmlns="http://schemas.openxmlformats.org/package/2006/relationships"><Relationship Type="http://schemas.openxmlformats.org/officeDocument/2006/relationships/image" Target="/xl/media/image5.jpeg" Id="rId1" /></Relationships>
</file>

<file path=xl/drawings/_rels/drawing6.xml.rels><Relationships xmlns="http://schemas.openxmlformats.org/package/2006/relationships"><Relationship Type="http://schemas.openxmlformats.org/officeDocument/2006/relationships/image" Target="/xl/media/image6.jpeg" Id="rId1" /></Relationships>
</file>

<file path=xl/drawings/_rels/drawing7.xml.rels><Relationships xmlns="http://schemas.openxmlformats.org/package/2006/relationships"><Relationship Type="http://schemas.openxmlformats.org/officeDocument/2006/relationships/image" Target="/xl/media/image7.jpeg" Id="rId1" /></Relationships>
</file>

<file path=xl/drawings/_rels/drawing8.xml.rels><Relationships xmlns="http://schemas.openxmlformats.org/package/2006/relationships"><Relationship Type="http://schemas.openxmlformats.org/officeDocument/2006/relationships/image" Target="/xl/media/image8.jpeg"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17</row>
      <rowOff>0</rowOff>
    </from>
    <ext cx="9000000" cy="54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0</row>
      <rowOff>0</rowOff>
    </from>
    <ext cx="2095500" cy="714375"/>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8</col>
      <colOff>0</colOff>
      <row>0</row>
      <rowOff>0</rowOff>
    </from>
    <ext cx="2095500" cy="714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2095500" cy="714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095500" cy="71437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2095500" cy="714375"/>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2095500" cy="714375"/>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4</col>
      <colOff>0</colOff>
      <row>0</row>
      <rowOff>0</rowOff>
    </from>
    <ext cx="2095500" cy="714375"/>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2095500" cy="7143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000A5C5F"/>
    <outlinePr summaryBelow="1" summaryRight="1"/>
    <pageSetUpPr/>
  </sheetPr>
  <dimension ref="B1:I41"/>
  <sheetViews>
    <sheetView rightToLeft="1" workbookViewId="0">
      <selection activeCell="A1" sqref="A1"/>
    </sheetView>
  </sheetViews>
  <sheetFormatPr baseColWidth="8" defaultRowHeight="15"/>
  <cols>
    <col width="5"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30" customHeight="1">
      <c r="B1" s="1" t="inlineStr">
        <is>
          <t>مركز التأمين الصحي الوطني</t>
        </is>
      </c>
    </row>
    <row r="2" ht="30" customHeight="1">
      <c r="B2" s="2" t="inlineStr">
        <is>
          <t>Center for National Health Insurance</t>
        </is>
      </c>
    </row>
    <row r="3" ht="30" customHeight="1">
      <c r="B3" s="3" t="inlineStr">
        <is>
          <t>لوحة التحكم - إدارة مشاريع PMO</t>
        </is>
      </c>
      <c r="C3" s="4" t="n"/>
      <c r="D3" s="4" t="n"/>
      <c r="E3" s="4" t="n"/>
      <c r="F3" s="4" t="n"/>
      <c r="G3" s="4" t="n"/>
      <c r="H3" s="4" t="n"/>
      <c r="I3" s="4" t="n"/>
    </row>
    <row r="5">
      <c r="B5" s="5" t="inlineStr">
        <is>
          <t>ملخص الأداء العام</t>
        </is>
      </c>
      <c r="C5" s="4" t="n"/>
      <c r="D5" s="4" t="n"/>
      <c r="E5" s="4" t="n"/>
      <c r="F5" s="4" t="n"/>
      <c r="G5" s="4" t="n"/>
      <c r="H5" s="4" t="n"/>
      <c r="I5" s="4" t="n"/>
    </row>
    <row r="6">
      <c r="B6" s="6" t="inlineStr">
        <is>
          <t>إجمالي الموظفين</t>
        </is>
      </c>
      <c r="C6" s="4" t="n"/>
      <c r="D6" s="7" t="inlineStr">
        <is>
          <t>إجمالي المشاريع</t>
        </is>
      </c>
      <c r="E6" s="4" t="n"/>
      <c r="F6" s="8" t="inlineStr">
        <is>
          <t>إجمالي المحافظ</t>
        </is>
      </c>
      <c r="G6" s="4" t="n"/>
      <c r="H6" s="9" t="inlineStr">
        <is>
          <t>نسبة الإنجاز</t>
        </is>
      </c>
      <c r="I6" s="4" t="n"/>
    </row>
    <row r="7">
      <c r="B7" s="10" t="n">
        <v>5</v>
      </c>
      <c r="C7" s="4" t="n"/>
      <c r="D7" s="11" t="n">
        <v>34</v>
      </c>
      <c r="E7" s="4" t="n"/>
      <c r="F7" s="12" t="n">
        <v>16</v>
      </c>
      <c r="G7" s="4" t="n"/>
      <c r="H7" s="13" t="inlineStr">
        <is>
          <t>0%</t>
        </is>
      </c>
      <c r="I7" s="4" t="n"/>
    </row>
    <row r="9">
      <c r="B9" s="5" t="inlineStr">
        <is>
          <t>بيانات الموظفين والمشاريع</t>
        </is>
      </c>
      <c r="C9" s="4" t="n"/>
      <c r="D9" s="4" t="n"/>
      <c r="E9" s="4" t="n"/>
      <c r="F9" s="4" t="n"/>
      <c r="G9" s="4" t="n"/>
      <c r="H9" s="4" t="n"/>
      <c r="I9" s="4" t="n"/>
    </row>
    <row r="10">
      <c r="B10" s="14" t="inlineStr">
        <is>
          <t>#</t>
        </is>
      </c>
      <c r="C10" s="14" t="inlineStr">
        <is>
          <t>اسم الموظف</t>
        </is>
      </c>
      <c r="D10" s="14" t="inlineStr">
        <is>
          <t>المحافظ</t>
        </is>
      </c>
      <c r="E10" s="14" t="inlineStr">
        <is>
          <t>عدد المشاريع</t>
        </is>
      </c>
      <c r="F10" s="14" t="inlineStr">
        <is>
          <t>عدد المهام المنجزة</t>
        </is>
      </c>
      <c r="G10" s="14" t="inlineStr">
        <is>
          <t>نسبة الإنجاز</t>
        </is>
      </c>
      <c r="H10" s="14" t="inlineStr">
        <is>
          <t>الحالة</t>
        </is>
      </c>
      <c r="I10" s="14" t="inlineStr">
        <is>
          <t>التقييم</t>
        </is>
      </c>
    </row>
    <row r="11" ht="35" customHeight="1">
      <c r="B11" s="15" t="n">
        <v>1</v>
      </c>
      <c r="C11" s="16" t="inlineStr">
        <is>
          <t>شكرية كنكار</t>
        </is>
      </c>
      <c r="D11" s="17" t="inlineStr">
        <is>
          <t>المالية / الحوكمة والمخاطر والالتزام وحوكمة البيانات / المنافع</t>
        </is>
      </c>
      <c r="E11" s="18" t="n">
        <v>7</v>
      </c>
      <c r="F11" s="15" t="n">
        <v>0</v>
      </c>
      <c r="G11" s="15" t="inlineStr">
        <is>
          <t>0%</t>
        </is>
      </c>
      <c r="H11" s="19" t="inlineStr">
        <is>
          <t>جاري العمل</t>
        </is>
      </c>
      <c r="I11" s="15" t="inlineStr">
        <is>
          <t>-</t>
        </is>
      </c>
    </row>
    <row r="12" ht="35" customHeight="1">
      <c r="B12" s="15" t="n">
        <v>2</v>
      </c>
      <c r="C12" s="16" t="inlineStr">
        <is>
          <t>نايف الجلال</t>
        </is>
      </c>
      <c r="D12" s="17" t="inlineStr">
        <is>
          <t>الشراء الاستراتيجي / الاستدامة المالية / القانونية / الاستراتيجية</t>
        </is>
      </c>
      <c r="E12" s="18" t="n">
        <v>6</v>
      </c>
      <c r="F12" s="15" t="n">
        <v>0</v>
      </c>
      <c r="G12" s="15" t="inlineStr">
        <is>
          <t>0%</t>
        </is>
      </c>
      <c r="H12" s="19" t="inlineStr">
        <is>
          <t>جاري العمل</t>
        </is>
      </c>
      <c r="I12" s="15" t="inlineStr">
        <is>
          <t>-</t>
        </is>
      </c>
    </row>
    <row r="13" ht="35" customHeight="1">
      <c r="B13" s="15" t="n">
        <v>3</v>
      </c>
      <c r="C13" s="16" t="inlineStr">
        <is>
          <t>عبد العزيز المعجل</t>
        </is>
      </c>
      <c r="D13" s="17" t="inlineStr">
        <is>
          <t>المراجعة الداخلية / تقييم التقنيات الصحية / مكتب الرئيس التنفيذي</t>
        </is>
      </c>
      <c r="E13" s="18" t="n">
        <v>3</v>
      </c>
      <c r="F13" s="15" t="n">
        <v>0</v>
      </c>
      <c r="G13" s="15" t="inlineStr">
        <is>
          <t>0%</t>
        </is>
      </c>
      <c r="H13" s="19" t="inlineStr">
        <is>
          <t>جاري العمل</t>
        </is>
      </c>
      <c r="I13" s="15" t="inlineStr">
        <is>
          <t>-</t>
        </is>
      </c>
    </row>
    <row r="14" ht="35" customHeight="1">
      <c r="B14" s="15" t="n">
        <v>4</v>
      </c>
      <c r="C14" s="16" t="inlineStr">
        <is>
          <t>صالح الغفيلي</t>
        </is>
      </c>
      <c r="D14" s="17" t="inlineStr">
        <is>
          <t>الصحة الحكيمة / الترميز الطبي وحساب التكاليف / التمويل والتكاليف / التقنية والذكاء الاصطناعي</t>
        </is>
      </c>
      <c r="E14" s="18" t="n">
        <v>14</v>
      </c>
      <c r="F14" s="15" t="n">
        <v>0</v>
      </c>
      <c r="G14" s="15" t="inlineStr">
        <is>
          <t>0%</t>
        </is>
      </c>
      <c r="H14" s="19" t="inlineStr">
        <is>
          <t>جاري العمل</t>
        </is>
      </c>
      <c r="I14" s="15" t="inlineStr">
        <is>
          <t>-</t>
        </is>
      </c>
    </row>
    <row r="15" ht="35" customHeight="1">
      <c r="B15" s="15" t="n">
        <v>5</v>
      </c>
      <c r="C15" s="16" t="inlineStr">
        <is>
          <t>مشعل محمد</t>
        </is>
      </c>
      <c r="D15" s="17" t="inlineStr">
        <is>
          <t>الموارد البشرية / التواصل والعناية بالمستفيدين</t>
        </is>
      </c>
      <c r="E15" s="18" t="n">
        <v>4</v>
      </c>
      <c r="F15" s="15" t="n">
        <v>0</v>
      </c>
      <c r="G15" s="15" t="inlineStr">
        <is>
          <t>0%</t>
        </is>
      </c>
      <c r="H15" s="19" t="inlineStr">
        <is>
          <t>جاري العمل</t>
        </is>
      </c>
      <c r="I15" s="15" t="inlineStr">
        <is>
          <t>-</t>
        </is>
      </c>
    </row>
    <row r="17">
      <c r="B17" s="5" t="inlineStr">
        <is>
          <t>توزيع المشاريع حسب الموظف</t>
        </is>
      </c>
      <c r="C17" s="4" t="n"/>
      <c r="D17" s="4" t="n"/>
      <c r="E17" s="4" t="n"/>
      <c r="F17" s="4" t="n"/>
      <c r="G17" s="4" t="n"/>
      <c r="H17" s="4" t="n"/>
      <c r="I17" s="4" t="n"/>
    </row>
    <row r="18">
      <c r="B18" s="15" t="inlineStr">
        <is>
          <t>شكرية كنكار</t>
        </is>
      </c>
      <c r="C18" s="15" t="n">
        <v>7</v>
      </c>
    </row>
    <row r="19">
      <c r="B19" s="15" t="inlineStr">
        <is>
          <t>نايف الجلال</t>
        </is>
      </c>
      <c r="C19" s="15" t="n">
        <v>6</v>
      </c>
    </row>
    <row r="20">
      <c r="B20" s="15" t="inlineStr">
        <is>
          <t>عبد العزيز المعجل</t>
        </is>
      </c>
      <c r="C20" s="15" t="n">
        <v>3</v>
      </c>
    </row>
    <row r="21">
      <c r="B21" s="15" t="inlineStr">
        <is>
          <t>صالح الغفيلي</t>
        </is>
      </c>
      <c r="C21" s="15" t="n">
        <v>14</v>
      </c>
    </row>
    <row r="22">
      <c r="B22" s="15" t="inlineStr">
        <is>
          <t>مشعل محمد</t>
        </is>
      </c>
      <c r="C22" s="15" t="n">
        <v>4</v>
      </c>
    </row>
    <row r="35">
      <c r="B35" s="5" t="inlineStr">
        <is>
          <t>تعريف تقييم الأداء</t>
        </is>
      </c>
      <c r="C35" s="4" t="n"/>
      <c r="D35" s="4" t="n"/>
      <c r="E35" s="4" t="n"/>
      <c r="F35" s="4" t="n"/>
      <c r="G35" s="4" t="n"/>
      <c r="H35" s="4" t="n"/>
      <c r="I35" s="4" t="n"/>
    </row>
    <row r="36">
      <c r="B36" s="14" t="inlineStr">
        <is>
          <t>مقياس الإنجاز</t>
        </is>
      </c>
      <c r="C36" s="4" t="n"/>
      <c r="D36" s="14" t="inlineStr">
        <is>
          <t>الدرجة</t>
        </is>
      </c>
      <c r="E36" s="14" t="inlineStr">
        <is>
          <t>التصنيف</t>
        </is>
      </c>
      <c r="F36" s="14" t="inlineStr">
        <is>
          <t>التعريف</t>
        </is>
      </c>
      <c r="G36" s="4" t="n"/>
      <c r="H36" s="4" t="n"/>
      <c r="I36" s="4" t="n"/>
    </row>
    <row r="37" ht="40" customHeight="1">
      <c r="B37" s="15" t="inlineStr">
        <is>
          <t>0 - 70</t>
        </is>
      </c>
      <c r="C37" s="4" t="n"/>
      <c r="D37" s="20" t="n">
        <v>1</v>
      </c>
      <c r="E37" s="21" t="inlineStr">
        <is>
          <t>Unsatisfactory</t>
        </is>
      </c>
      <c r="F37" s="17" t="inlineStr">
        <is>
          <t>غير مرضي: لم يحقق الأهداف الرئيسية أو معايير الأداء. يتطلب تحسين فوري.</t>
        </is>
      </c>
      <c r="G37" s="4" t="n"/>
      <c r="H37" s="4" t="n"/>
      <c r="I37" s="4" t="n"/>
    </row>
    <row r="38" ht="40" customHeight="1">
      <c r="B38" s="15" t="inlineStr">
        <is>
          <t>71 - 85</t>
        </is>
      </c>
      <c r="C38" s="4" t="n"/>
      <c r="D38" s="20" t="n">
        <v>2</v>
      </c>
      <c r="E38" s="21" t="inlineStr">
        <is>
          <t>Needs Improvement</t>
        </is>
      </c>
      <c r="F38" s="17" t="inlineStr">
        <is>
          <t>يحتاج تحسين: حقق بعض الأهداف لكن يوجد فجوات تتطلب تطوير إضافي.</t>
        </is>
      </c>
      <c r="G38" s="4" t="n"/>
      <c r="H38" s="4" t="n"/>
      <c r="I38" s="4" t="n"/>
    </row>
    <row r="39" ht="40" customHeight="1">
      <c r="B39" s="15" t="inlineStr">
        <is>
          <t>86 - 100</t>
        </is>
      </c>
      <c r="C39" s="4" t="n"/>
      <c r="D39" s="20" t="n">
        <v>3</v>
      </c>
      <c r="E39" s="21" t="inlineStr">
        <is>
          <t>Meets Expectations</t>
        </is>
      </c>
      <c r="F39" s="17" t="inlineStr">
        <is>
          <t>يلبي التوقعات: حقق جميع الأهداف المحددة وقدم نتائج متسقة مع الأداء المتوقع.</t>
        </is>
      </c>
      <c r="G39" s="4" t="n"/>
      <c r="H39" s="4" t="n"/>
      <c r="I39" s="4" t="n"/>
    </row>
    <row r="40" ht="40" customHeight="1">
      <c r="B40" s="15" t="inlineStr">
        <is>
          <t>101 - 119</t>
        </is>
      </c>
      <c r="C40" s="4" t="n"/>
      <c r="D40" s="20" t="n">
        <v>4</v>
      </c>
      <c r="E40" s="21" t="inlineStr">
        <is>
          <t>Exceeds Expectations</t>
        </is>
      </c>
      <c r="F40" s="17" t="inlineStr">
        <is>
          <t>يتجاوز التوقعات: حقق جميع الأهداف وقدم مبادرة ذات أثر قابل للقياس على مستوى القطاع.</t>
        </is>
      </c>
      <c r="G40" s="4" t="n"/>
      <c r="H40" s="4" t="n"/>
      <c r="I40" s="4" t="n"/>
    </row>
    <row r="41" ht="40" customHeight="1">
      <c r="B41" s="15" t="inlineStr">
        <is>
          <t>120 - 130</t>
        </is>
      </c>
      <c r="C41" s="4" t="n"/>
      <c r="D41" s="20" t="n">
        <v>5</v>
      </c>
      <c r="E41" s="21" t="inlineStr">
        <is>
          <t>Outstanding</t>
        </is>
      </c>
      <c r="F41" s="17" t="inlineStr">
        <is>
          <t>متميز: حقق نتائج استثنائية ذات أثر إيجابي على مستوى المركز. أظهر ابتكاراً وقيادة تتجاوز نطاق العمل.</t>
        </is>
      </c>
      <c r="G41" s="4" t="n"/>
      <c r="H41" s="4" t="n"/>
      <c r="I41" s="4" t="n"/>
    </row>
  </sheetData>
  <mergeCells count="29">
    <mergeCell ref="B2:G2"/>
    <mergeCell ref="B7:C7"/>
    <mergeCell ref="F39:I39"/>
    <mergeCell ref="B1:G1"/>
    <mergeCell ref="B3:I3"/>
    <mergeCell ref="F6:G6"/>
    <mergeCell ref="F37:I37"/>
    <mergeCell ref="F7:G7"/>
    <mergeCell ref="B39:C39"/>
    <mergeCell ref="D6:E6"/>
    <mergeCell ref="H6:I6"/>
    <mergeCell ref="B17:I17"/>
    <mergeCell ref="B38:C38"/>
    <mergeCell ref="F40:I40"/>
    <mergeCell ref="D7:E7"/>
    <mergeCell ref="D36"/>
    <mergeCell ref="H7:I7"/>
    <mergeCell ref="B37:C37"/>
    <mergeCell ref="B40:C40"/>
    <mergeCell ref="F36:I36"/>
    <mergeCell ref="B9:I9"/>
    <mergeCell ref="B6:C6"/>
    <mergeCell ref="F41:I41"/>
    <mergeCell ref="B36:C36"/>
    <mergeCell ref="B5:I5"/>
    <mergeCell ref="F38:I38"/>
    <mergeCell ref="B41:C41"/>
    <mergeCell ref="E36"/>
    <mergeCell ref="B35:I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565C0"/>
    <outlinePr summaryBelow="1" summaryRight="1"/>
    <pageSetUpPr/>
  </sheetPr>
  <dimension ref="B1:J13"/>
  <sheetViews>
    <sheetView rightToLeft="1" workbookViewId="0">
      <selection activeCell="A1" sqref="A1"/>
    </sheetView>
  </sheetViews>
  <sheetFormatPr baseColWidth="8" defaultRowHeight="15"/>
  <cols>
    <col width="5" customWidth="1" min="1" max="1"/>
    <col width="8" customWidth="1" min="2" max="2"/>
    <col width="22" customWidth="1" min="3" max="3"/>
    <col width="45" customWidth="1" min="4" max="4"/>
    <col width="18" customWidth="1" min="5" max="5"/>
    <col width="18" customWidth="1" min="6" max="6"/>
    <col width="20" customWidth="1" min="7" max="7"/>
    <col width="20" customWidth="1" min="8" max="8"/>
    <col width="20" customWidth="1" min="9" max="9"/>
    <col width="20" customWidth="1" min="10" max="10"/>
  </cols>
  <sheetData>
    <row r="1" ht="30" customHeight="1">
      <c r="B1" s="22" t="inlineStr">
        <is>
          <t>مركز التأمين الصحي الوطني</t>
        </is>
      </c>
    </row>
    <row r="2" ht="30" customHeight="1">
      <c r="B2" s="23" t="inlineStr">
        <is>
          <t>إدارة الموظفين والمشاريع</t>
        </is>
      </c>
      <c r="C2" s="4" t="n"/>
      <c r="D2" s="4" t="n"/>
      <c r="E2" s="4" t="n"/>
      <c r="F2" s="4" t="n"/>
      <c r="G2" s="4" t="n"/>
      <c r="H2" s="4" t="n"/>
      <c r="I2" s="4" t="n"/>
      <c r="J2" s="4" t="n"/>
    </row>
    <row r="4">
      <c r="B4" s="14" t="inlineStr">
        <is>
          <t>#</t>
        </is>
      </c>
      <c r="C4" s="14" t="inlineStr">
        <is>
          <t>اسم الموظف</t>
        </is>
      </c>
      <c r="D4" s="14" t="inlineStr">
        <is>
          <t>المحافظ</t>
        </is>
      </c>
      <c r="E4" s="14" t="inlineStr">
        <is>
          <t>عدد المشاريع</t>
        </is>
      </c>
      <c r="F4" s="14" t="inlineStr">
        <is>
          <t>الإجازات السنوية المتبقية</t>
        </is>
      </c>
      <c r="G4" s="14" t="inlineStr">
        <is>
          <t>الإجازات المرضية المتبقية</t>
        </is>
      </c>
      <c r="H4" s="14" t="inlineStr">
        <is>
          <t>أيام العمل عن بعد المتبقية</t>
        </is>
      </c>
      <c r="I4" s="14" t="inlineStr">
        <is>
          <t>إجازات أخرى المتبقية</t>
        </is>
      </c>
      <c r="J4" s="14" t="inlineStr">
        <is>
          <t>الحالة</t>
        </is>
      </c>
    </row>
    <row r="5" ht="40" customHeight="1">
      <c r="B5" s="15" t="n">
        <v>1</v>
      </c>
      <c r="C5" s="16" t="inlineStr">
        <is>
          <t>شكرية كنكار</t>
        </is>
      </c>
      <c r="D5" s="17" t="inlineStr">
        <is>
          <t>المالية / الحوكمة والمخاطر والالتزام وحوكمة البيانات / المنافع</t>
        </is>
      </c>
      <c r="E5" s="18" t="n">
        <v>7</v>
      </c>
      <c r="F5" s="24" t="n">
        <v>25</v>
      </c>
      <c r="G5" s="24" t="n">
        <v>60</v>
      </c>
      <c r="H5" s="24" t="n">
        <v>12</v>
      </c>
      <c r="I5" s="24" t="n">
        <v>0</v>
      </c>
      <c r="J5" s="25" t="inlineStr">
        <is>
          <t>نشط</t>
        </is>
      </c>
    </row>
    <row r="6" ht="40" customHeight="1">
      <c r="B6" s="15" t="n">
        <v>2</v>
      </c>
      <c r="C6" s="16" t="inlineStr">
        <is>
          <t>نايف الجلال</t>
        </is>
      </c>
      <c r="D6" s="17" t="inlineStr">
        <is>
          <t>الشراء الاستراتيجي / الاستدامة المالية / القانونية / الاستراتيجية</t>
        </is>
      </c>
      <c r="E6" s="18" t="n">
        <v>6</v>
      </c>
      <c r="F6" s="24" t="n">
        <v>25</v>
      </c>
      <c r="G6" s="24" t="n">
        <v>60</v>
      </c>
      <c r="H6" s="24" t="n">
        <v>12</v>
      </c>
      <c r="I6" s="24" t="n">
        <v>0</v>
      </c>
      <c r="J6" s="25" t="inlineStr">
        <is>
          <t>نشط</t>
        </is>
      </c>
    </row>
    <row r="7" ht="40" customHeight="1">
      <c r="B7" s="15" t="n">
        <v>3</v>
      </c>
      <c r="C7" s="16" t="inlineStr">
        <is>
          <t>عبد العزيز المعجل</t>
        </is>
      </c>
      <c r="D7" s="17" t="inlineStr">
        <is>
          <t>المراجعة الداخلية / تقييم التقنيات الصحية / مكتب الرئيس التنفيذي</t>
        </is>
      </c>
      <c r="E7" s="18" t="n">
        <v>3</v>
      </c>
      <c r="F7" s="24" t="n">
        <v>25</v>
      </c>
      <c r="G7" s="24" t="n">
        <v>60</v>
      </c>
      <c r="H7" s="24" t="n">
        <v>12</v>
      </c>
      <c r="I7" s="24" t="n">
        <v>0</v>
      </c>
      <c r="J7" s="25" t="inlineStr">
        <is>
          <t>نشط</t>
        </is>
      </c>
    </row>
    <row r="8" ht="40" customHeight="1">
      <c r="B8" s="15" t="n">
        <v>4</v>
      </c>
      <c r="C8" s="16" t="inlineStr">
        <is>
          <t>صالح الغفيلي</t>
        </is>
      </c>
      <c r="D8" s="17" t="inlineStr">
        <is>
          <t>الصحة الحكيمة / الترميز الطبي وحساب التكاليف / التمويل والتكاليف / التقنية والذكاء الاصطناعي</t>
        </is>
      </c>
      <c r="E8" s="18" t="n">
        <v>14</v>
      </c>
      <c r="F8" s="24" t="n">
        <v>25</v>
      </c>
      <c r="G8" s="24" t="n">
        <v>60</v>
      </c>
      <c r="H8" s="24" t="n">
        <v>12</v>
      </c>
      <c r="I8" s="24" t="n">
        <v>0</v>
      </c>
      <c r="J8" s="25" t="inlineStr">
        <is>
          <t>نشط</t>
        </is>
      </c>
    </row>
    <row r="9" ht="40" customHeight="1">
      <c r="B9" s="15" t="n">
        <v>5</v>
      </c>
      <c r="C9" s="16" t="inlineStr">
        <is>
          <t>مشعل محمد</t>
        </is>
      </c>
      <c r="D9" s="17" t="inlineStr">
        <is>
          <t>الموارد البشرية / التواصل والعناية بالمستفيدين</t>
        </is>
      </c>
      <c r="E9" s="18" t="n">
        <v>4</v>
      </c>
      <c r="F9" s="24" t="n">
        <v>25</v>
      </c>
      <c r="G9" s="24" t="n">
        <v>60</v>
      </c>
      <c r="H9" s="24" t="n">
        <v>12</v>
      </c>
      <c r="I9" s="24" t="n">
        <v>0</v>
      </c>
      <c r="J9" s="25" t="inlineStr">
        <is>
          <t>نشط</t>
        </is>
      </c>
    </row>
    <row r="12">
      <c r="B12" s="26" t="inlineStr">
        <is>
          <t>لإضافة موظف جديد:</t>
        </is>
      </c>
    </row>
    <row r="13">
      <c r="B13" s="27" t="inlineStr">
        <is>
          <t>أضف بيانات الموظف الجديد في الصف التالي للموظفين الحاليين مباشرة</t>
        </is>
      </c>
    </row>
  </sheetData>
  <mergeCells count="4">
    <mergeCell ref="B1:H1"/>
    <mergeCell ref="B12:J12"/>
    <mergeCell ref="B13:J13"/>
    <mergeCell ref="B2:J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43A047"/>
    <outlinePr summaryBelow="1" summaryRight="1"/>
    <pageSetUpPr/>
  </sheetPr>
  <dimension ref="B1:G554"/>
  <sheetViews>
    <sheetView rightToLeft="1" workbookViewId="0">
      <selection activeCell="A1" sqref="A1"/>
    </sheetView>
  </sheetViews>
  <sheetFormatPr baseColWidth="8" defaultRowHeight="15"/>
  <cols>
    <col width="5" customWidth="1" min="1" max="1"/>
    <col width="8" customWidth="1" min="2" max="2"/>
    <col width="50" customWidth="1" min="3" max="3"/>
    <col width="22" customWidth="1" min="4" max="4"/>
    <col width="30" customWidth="1" min="5" max="5"/>
    <col width="12" customWidth="1" min="6" max="6"/>
    <col width="18" customWidth="1" min="7" max="7"/>
  </cols>
  <sheetData>
    <row r="1">
      <c r="B1" s="3" t="inlineStr">
        <is>
          <t>المهام الأسبوعية لكل مشروع</t>
        </is>
      </c>
      <c r="C1" s="4" t="n"/>
      <c r="D1" s="4" t="n"/>
      <c r="E1" s="4" t="n"/>
      <c r="F1" s="4" t="n"/>
      <c r="G1" s="4" t="n"/>
    </row>
    <row r="3">
      <c r="B3" s="23" t="inlineStr">
        <is>
          <t>الموظف: شكرية كنكار</t>
        </is>
      </c>
      <c r="C3" s="4" t="n"/>
      <c r="D3" s="4" t="n"/>
      <c r="E3" s="4" t="n"/>
      <c r="F3" s="4" t="n"/>
      <c r="G3" s="4" t="n"/>
    </row>
    <row r="4">
      <c r="B4" s="28" t="inlineStr">
        <is>
          <t>المشروع: تدقيق وإجازة عمليات الشراء من القطاع الخاص</t>
        </is>
      </c>
      <c r="C4" s="4" t="n"/>
      <c r="D4" s="4" t="n"/>
      <c r="E4" s="4" t="n"/>
      <c r="F4" s="29" t="inlineStr">
        <is>
          <t>المحفظة: المالية</t>
        </is>
      </c>
      <c r="G4" s="4" t="n"/>
    </row>
    <row r="5">
      <c r="B5" s="9" t="inlineStr">
        <is>
          <t>#</t>
        </is>
      </c>
      <c r="C5" s="9" t="inlineStr">
        <is>
          <t>المهمة</t>
        </is>
      </c>
      <c r="D5" s="9" t="inlineStr">
        <is>
          <t>الحالة</t>
        </is>
      </c>
      <c r="E5" s="9" t="inlineStr">
        <is>
          <t>الملاحظات</t>
        </is>
      </c>
      <c r="F5" s="9" t="inlineStr">
        <is>
          <t>ارتباط بالهدف</t>
        </is>
      </c>
      <c r="G5" s="9" t="inlineStr">
        <is>
          <t>حالة المشروع</t>
        </is>
      </c>
    </row>
    <row r="6" ht="30" customHeight="1">
      <c r="B6" s="15" t="n">
        <v>1</v>
      </c>
      <c r="C6" s="17" t="inlineStr">
        <is>
          <t>هل تم تحديث الأنظمة والمنصات المتعلقة بالمشاريع؟</t>
        </is>
      </c>
      <c r="D6" s="15" t="n"/>
      <c r="E6" s="17" t="inlineStr"/>
      <c r="F6" s="30" t="inlineStr">
        <is>
          <t>الهدف 1</t>
        </is>
      </c>
      <c r="G6" s="16">
        <f>IF(COUNTIF(D6:D18,"نعم")=COUNTA(D6:D18),"مكتمل ومغلق",IF(COUNTA(D6:D18)=0,"لم يبدأ","جاري العمل عليه"))</f>
        <v/>
      </c>
    </row>
    <row r="7" ht="30" customHeight="1">
      <c r="B7" s="15" t="n">
        <v>2</v>
      </c>
      <c r="C7" s="17" t="inlineStr">
        <is>
          <t>هل تم تحديث الخطة التفصيلية للمشروع؟</t>
        </is>
      </c>
      <c r="D7" s="15" t="n"/>
      <c r="E7" s="17" t="inlineStr"/>
      <c r="F7" s="30" t="inlineStr">
        <is>
          <t>الهدف 1</t>
        </is>
      </c>
      <c r="G7" s="4" t="n"/>
    </row>
    <row r="8" ht="30" customHeight="1">
      <c r="B8" s="15" t="n">
        <v>3</v>
      </c>
      <c r="C8" s="17" t="inlineStr">
        <is>
          <t>هل تم حل التحديات والمخاطر؟</t>
        </is>
      </c>
      <c r="D8" s="15" t="n"/>
      <c r="E8" s="17" t="inlineStr"/>
      <c r="F8" s="30" t="inlineStr">
        <is>
          <t>الهدف 3</t>
        </is>
      </c>
      <c r="G8" s="4" t="n"/>
    </row>
    <row r="9" ht="30" customHeight="1">
      <c r="B9" s="15" t="n">
        <v>4</v>
      </c>
      <c r="C9" s="17" t="inlineStr">
        <is>
          <t>هل تم متابعة وإغلاق أوامر التغيير؟</t>
        </is>
      </c>
      <c r="D9" s="15" t="n"/>
      <c r="E9" s="17" t="inlineStr"/>
      <c r="F9" s="30" t="inlineStr">
        <is>
          <t>الهدف 3</t>
        </is>
      </c>
      <c r="G9" s="4" t="n"/>
    </row>
    <row r="10" ht="30" customHeight="1">
      <c r="B10" s="15" t="n">
        <v>5</v>
      </c>
      <c r="C10" s="17" t="inlineStr">
        <is>
          <t>هل تم إرسال تقرير أسبوعي لمالك المحفظة؟</t>
        </is>
      </c>
      <c r="D10" s="15" t="n"/>
      <c r="E10" s="17" t="inlineStr"/>
      <c r="F10" s="30" t="inlineStr">
        <is>
          <t>الهدف 4</t>
        </is>
      </c>
      <c r="G10" s="4" t="n"/>
    </row>
    <row r="11" ht="30" customHeight="1">
      <c r="B11" s="15" t="n">
        <v>6</v>
      </c>
      <c r="C11" s="17" t="inlineStr">
        <is>
          <t>هل تم التنبيه بثلاث أسابيع بحلول قرب تسليم المخرجات؟</t>
        </is>
      </c>
      <c r="D11" s="15" t="n"/>
      <c r="E11" s="17" t="inlineStr"/>
      <c r="F11" s="30" t="inlineStr">
        <is>
          <t>الهدف 1</t>
        </is>
      </c>
      <c r="G11" s="4" t="n"/>
    </row>
    <row r="12" ht="30" customHeight="1">
      <c r="B12" s="15" t="n">
        <v>7</v>
      </c>
      <c r="C12" s="17" t="inlineStr">
        <is>
          <t>هل تم متابعة تسليم المخرجات؟</t>
        </is>
      </c>
      <c r="D12" s="15" t="n"/>
      <c r="E12" s="17" t="inlineStr"/>
      <c r="F12" s="30" t="inlineStr">
        <is>
          <t>الهدف 1</t>
        </is>
      </c>
      <c r="G12" s="4" t="n"/>
    </row>
    <row r="13" ht="30" customHeight="1">
      <c r="B13" s="15" t="n">
        <v>8</v>
      </c>
      <c r="C13" s="17" t="inlineStr">
        <is>
          <t>هل تم تحديث الخطة المالية الرئيسية؟</t>
        </is>
      </c>
      <c r="D13" s="15" t="n"/>
      <c r="E13" s="17" t="inlineStr"/>
      <c r="F13" s="30" t="inlineStr">
        <is>
          <t>الهدف 2</t>
        </is>
      </c>
      <c r="G13" s="4" t="n"/>
    </row>
    <row r="14" ht="30" customHeight="1">
      <c r="B14" s="15" t="n">
        <v>9</v>
      </c>
      <c r="C14" s="17" t="inlineStr">
        <is>
          <t>هل تم تصدير شهادات الإنجاز للمالية؟</t>
        </is>
      </c>
      <c r="D14" s="15" t="n"/>
      <c r="E14" s="17" t="inlineStr"/>
      <c r="F14" s="30" t="inlineStr">
        <is>
          <t>الهدف 2</t>
        </is>
      </c>
      <c r="G14" s="4" t="n"/>
    </row>
    <row r="15" ht="30" customHeight="1">
      <c r="B15" s="15" t="n">
        <v>10</v>
      </c>
      <c r="C15" s="17" t="inlineStr">
        <is>
          <t>هل تم متابعة وتحديث المشاريع التشغيلية؟</t>
        </is>
      </c>
      <c r="D15" s="15" t="n"/>
      <c r="E15" s="17" t="inlineStr"/>
      <c r="F15" s="30" t="inlineStr">
        <is>
          <t>الهدف 1</t>
        </is>
      </c>
      <c r="G15" s="4" t="n"/>
    </row>
    <row r="16" ht="30" customHeight="1">
      <c r="B16" s="15" t="n">
        <v>11</v>
      </c>
      <c r="C16" s="17" t="inlineStr">
        <is>
          <t>هل تم رفع جميع الوثائق في نظام ميسر؟</t>
        </is>
      </c>
      <c r="D16" s="15" t="n"/>
      <c r="E16" s="17" t="inlineStr"/>
      <c r="F16" s="30" t="inlineStr">
        <is>
          <t>الهدف 1</t>
        </is>
      </c>
      <c r="G16" s="4" t="n"/>
    </row>
    <row r="17" ht="30" customHeight="1">
      <c r="B17" s="15" t="n">
        <v>12</v>
      </c>
      <c r="C17" s="17" t="inlineStr">
        <is>
          <t>هل يوجد مبادرات وإنجازات تم العمل عليها خلال هذا الأسبوع؟</t>
        </is>
      </c>
      <c r="D17" s="15" t="n"/>
      <c r="E17" s="17" t="inlineStr"/>
      <c r="F17" s="30" t="inlineStr">
        <is>
          <t>الهدف 5</t>
        </is>
      </c>
      <c r="G17" s="4" t="n"/>
    </row>
    <row r="18" ht="30" customHeight="1">
      <c r="B18" s="15" t="n">
        <v>13</v>
      </c>
      <c r="C18" s="17" t="inlineStr">
        <is>
          <t>هل تم الالتزام بمصفوفة الصلاحيات التشغيلية والحوكمة واتباعها؟</t>
        </is>
      </c>
      <c r="D18" s="15" t="n"/>
      <c r="E18" s="17" t="inlineStr"/>
      <c r="F18" s="30" t="inlineStr">
        <is>
          <t>الهدف 1</t>
        </is>
      </c>
      <c r="G18" s="4" t="n"/>
    </row>
    <row r="20">
      <c r="B20" s="28" t="inlineStr">
        <is>
          <t>المشروع: بناء وتفعيل قطاع الشؤون المالية لمركز التأمين الصحي الوطني</t>
        </is>
      </c>
      <c r="C20" s="4" t="n"/>
      <c r="D20" s="4" t="n"/>
      <c r="E20" s="4" t="n"/>
      <c r="F20" s="29" t="inlineStr">
        <is>
          <t>المحفظة: المالية</t>
        </is>
      </c>
      <c r="G20" s="4" t="n"/>
    </row>
    <row r="21">
      <c r="B21" s="9" t="inlineStr">
        <is>
          <t>#</t>
        </is>
      </c>
      <c r="C21" s="9" t="inlineStr">
        <is>
          <t>المهمة</t>
        </is>
      </c>
      <c r="D21" s="9" t="inlineStr">
        <is>
          <t>الحالة</t>
        </is>
      </c>
      <c r="E21" s="9" t="inlineStr">
        <is>
          <t>الملاحظات</t>
        </is>
      </c>
      <c r="F21" s="9" t="inlineStr">
        <is>
          <t>ارتباط بالهدف</t>
        </is>
      </c>
      <c r="G21" s="9" t="inlineStr">
        <is>
          <t>حالة المشروع</t>
        </is>
      </c>
    </row>
    <row r="22" ht="30" customHeight="1">
      <c r="B22" s="15" t="n">
        <v>1</v>
      </c>
      <c r="C22" s="17" t="inlineStr">
        <is>
          <t>هل تم تحديث الأنظمة والمنصات المتعلقة بالمشاريع؟</t>
        </is>
      </c>
      <c r="D22" s="15" t="n"/>
      <c r="E22" s="17" t="inlineStr"/>
      <c r="F22" s="30" t="inlineStr">
        <is>
          <t>الهدف 1</t>
        </is>
      </c>
      <c r="G22" s="16">
        <f>IF(COUNTIF(D22:D34,"نعم")=COUNTA(D22:D34),"مكتمل ومغلق",IF(COUNTA(D22:D34)=0,"لم يبدأ","جاري العمل عليه"))</f>
        <v/>
      </c>
    </row>
    <row r="23" ht="30" customHeight="1">
      <c r="B23" s="15" t="n">
        <v>2</v>
      </c>
      <c r="C23" s="17" t="inlineStr">
        <is>
          <t>هل تم تحديث الخطة التفصيلية للمشروع؟</t>
        </is>
      </c>
      <c r="D23" s="15" t="n"/>
      <c r="E23" s="17" t="inlineStr"/>
      <c r="F23" s="30" t="inlineStr">
        <is>
          <t>الهدف 1</t>
        </is>
      </c>
      <c r="G23" s="4" t="n"/>
    </row>
    <row r="24" ht="30" customHeight="1">
      <c r="B24" s="15" t="n">
        <v>3</v>
      </c>
      <c r="C24" s="17" t="inlineStr">
        <is>
          <t>هل تم حل التحديات والمخاطر؟</t>
        </is>
      </c>
      <c r="D24" s="15" t="n"/>
      <c r="E24" s="17" t="inlineStr"/>
      <c r="F24" s="30" t="inlineStr">
        <is>
          <t>الهدف 3</t>
        </is>
      </c>
      <c r="G24" s="4" t="n"/>
    </row>
    <row r="25" ht="30" customHeight="1">
      <c r="B25" s="15" t="n">
        <v>4</v>
      </c>
      <c r="C25" s="17" t="inlineStr">
        <is>
          <t>هل تم متابعة وإغلاق أوامر التغيير؟</t>
        </is>
      </c>
      <c r="D25" s="15" t="n"/>
      <c r="E25" s="17" t="inlineStr"/>
      <c r="F25" s="30" t="inlineStr">
        <is>
          <t>الهدف 3</t>
        </is>
      </c>
      <c r="G25" s="4" t="n"/>
    </row>
    <row r="26" ht="30" customHeight="1">
      <c r="B26" s="15" t="n">
        <v>5</v>
      </c>
      <c r="C26" s="17" t="inlineStr">
        <is>
          <t>هل تم إرسال تقرير أسبوعي لمالك المحفظة؟</t>
        </is>
      </c>
      <c r="D26" s="15" t="n"/>
      <c r="E26" s="17" t="inlineStr"/>
      <c r="F26" s="30" t="inlineStr">
        <is>
          <t>الهدف 4</t>
        </is>
      </c>
      <c r="G26" s="4" t="n"/>
    </row>
    <row r="27" ht="30" customHeight="1">
      <c r="B27" s="15" t="n">
        <v>6</v>
      </c>
      <c r="C27" s="17" t="inlineStr">
        <is>
          <t>هل تم التنبيه بثلاث أسابيع بحلول قرب تسليم المخرجات؟</t>
        </is>
      </c>
      <c r="D27" s="15" t="n"/>
      <c r="E27" s="17" t="inlineStr"/>
      <c r="F27" s="30" t="inlineStr">
        <is>
          <t>الهدف 1</t>
        </is>
      </c>
      <c r="G27" s="4" t="n"/>
    </row>
    <row r="28" ht="30" customHeight="1">
      <c r="B28" s="15" t="n">
        <v>7</v>
      </c>
      <c r="C28" s="17" t="inlineStr">
        <is>
          <t>هل تم متابعة تسليم المخرجات؟</t>
        </is>
      </c>
      <c r="D28" s="15" t="n"/>
      <c r="E28" s="17" t="inlineStr"/>
      <c r="F28" s="30" t="inlineStr">
        <is>
          <t>الهدف 1</t>
        </is>
      </c>
      <c r="G28" s="4" t="n"/>
    </row>
    <row r="29" ht="30" customHeight="1">
      <c r="B29" s="15" t="n">
        <v>8</v>
      </c>
      <c r="C29" s="17" t="inlineStr">
        <is>
          <t>هل تم تحديث الخطة المالية الرئيسية؟</t>
        </is>
      </c>
      <c r="D29" s="15" t="n"/>
      <c r="E29" s="17" t="inlineStr"/>
      <c r="F29" s="30" t="inlineStr">
        <is>
          <t>الهدف 2</t>
        </is>
      </c>
      <c r="G29" s="4" t="n"/>
    </row>
    <row r="30" ht="30" customHeight="1">
      <c r="B30" s="15" t="n">
        <v>9</v>
      </c>
      <c r="C30" s="17" t="inlineStr">
        <is>
          <t>هل تم تصدير شهادات الإنجاز للمالية؟</t>
        </is>
      </c>
      <c r="D30" s="15" t="n"/>
      <c r="E30" s="17" t="inlineStr"/>
      <c r="F30" s="30" t="inlineStr">
        <is>
          <t>الهدف 2</t>
        </is>
      </c>
      <c r="G30" s="4" t="n"/>
    </row>
    <row r="31" ht="30" customHeight="1">
      <c r="B31" s="15" t="n">
        <v>10</v>
      </c>
      <c r="C31" s="17" t="inlineStr">
        <is>
          <t>هل تم متابعة وتحديث المشاريع التشغيلية؟</t>
        </is>
      </c>
      <c r="D31" s="15" t="n"/>
      <c r="E31" s="17" t="inlineStr"/>
      <c r="F31" s="30" t="inlineStr">
        <is>
          <t>الهدف 1</t>
        </is>
      </c>
      <c r="G31" s="4" t="n"/>
    </row>
    <row r="32" ht="30" customHeight="1">
      <c r="B32" s="15" t="n">
        <v>11</v>
      </c>
      <c r="C32" s="17" t="inlineStr">
        <is>
          <t>هل تم رفع جميع الوثائق في نظام ميسر؟</t>
        </is>
      </c>
      <c r="D32" s="15" t="n"/>
      <c r="E32" s="17" t="inlineStr"/>
      <c r="F32" s="30" t="inlineStr">
        <is>
          <t>الهدف 1</t>
        </is>
      </c>
      <c r="G32" s="4" t="n"/>
    </row>
    <row r="33" ht="30" customHeight="1">
      <c r="B33" s="15" t="n">
        <v>12</v>
      </c>
      <c r="C33" s="17" t="inlineStr">
        <is>
          <t>هل يوجد مبادرات وإنجازات تم العمل عليها خلال هذا الأسبوع؟</t>
        </is>
      </c>
      <c r="D33" s="15" t="n"/>
      <c r="E33" s="17" t="inlineStr"/>
      <c r="F33" s="30" t="inlineStr">
        <is>
          <t>الهدف 5</t>
        </is>
      </c>
      <c r="G33" s="4" t="n"/>
    </row>
    <row r="34" ht="30" customHeight="1">
      <c r="B34" s="15" t="n">
        <v>13</v>
      </c>
      <c r="C34" s="17" t="inlineStr">
        <is>
          <t>هل تم الالتزام بمصفوفة الصلاحيات التشغيلية والحوكمة واتباعها؟</t>
        </is>
      </c>
      <c r="D34" s="15" t="n"/>
      <c r="E34" s="17" t="inlineStr"/>
      <c r="F34" s="30" t="inlineStr">
        <is>
          <t>الهدف 1</t>
        </is>
      </c>
      <c r="G34" s="4" t="n"/>
    </row>
    <row r="36">
      <c r="B36" s="28" t="inlineStr">
        <is>
          <t>المشروع: مشروع تطوير ضوابط أمان التطبيقات والبنية التحتية</t>
        </is>
      </c>
      <c r="C36" s="4" t="n"/>
      <c r="D36" s="4" t="n"/>
      <c r="E36" s="4" t="n"/>
      <c r="F36" s="29" t="inlineStr">
        <is>
          <t>المحفظة: الحوكمة</t>
        </is>
      </c>
      <c r="G36" s="4" t="n"/>
    </row>
    <row r="37">
      <c r="B37" s="9" t="inlineStr">
        <is>
          <t>#</t>
        </is>
      </c>
      <c r="C37" s="9" t="inlineStr">
        <is>
          <t>المهمة</t>
        </is>
      </c>
      <c r="D37" s="9" t="inlineStr">
        <is>
          <t>الحالة</t>
        </is>
      </c>
      <c r="E37" s="9" t="inlineStr">
        <is>
          <t>الملاحظات</t>
        </is>
      </c>
      <c r="F37" s="9" t="inlineStr">
        <is>
          <t>ارتباط بالهدف</t>
        </is>
      </c>
      <c r="G37" s="9" t="inlineStr">
        <is>
          <t>حالة المشروع</t>
        </is>
      </c>
    </row>
    <row r="38" ht="30" customHeight="1">
      <c r="B38" s="15" t="n">
        <v>1</v>
      </c>
      <c r="C38" s="17" t="inlineStr">
        <is>
          <t>هل تم تحديث الأنظمة والمنصات المتعلقة بالمشاريع؟</t>
        </is>
      </c>
      <c r="D38" s="15" t="n"/>
      <c r="E38" s="17" t="inlineStr"/>
      <c r="F38" s="30" t="inlineStr">
        <is>
          <t>الهدف 1</t>
        </is>
      </c>
      <c r="G38" s="16">
        <f>IF(COUNTIF(D38:D50,"نعم")=COUNTA(D38:D50),"مكتمل ومغلق",IF(COUNTA(D38:D50)=0,"لم يبدأ","جاري العمل عليه"))</f>
        <v/>
      </c>
    </row>
    <row r="39" ht="30" customHeight="1">
      <c r="B39" s="15" t="n">
        <v>2</v>
      </c>
      <c r="C39" s="17" t="inlineStr">
        <is>
          <t>هل تم تحديث الخطة التفصيلية للمشروع؟</t>
        </is>
      </c>
      <c r="D39" s="15" t="n"/>
      <c r="E39" s="17" t="inlineStr"/>
      <c r="F39" s="30" t="inlineStr">
        <is>
          <t>الهدف 1</t>
        </is>
      </c>
      <c r="G39" s="4" t="n"/>
    </row>
    <row r="40" ht="30" customHeight="1">
      <c r="B40" s="15" t="n">
        <v>3</v>
      </c>
      <c r="C40" s="17" t="inlineStr">
        <is>
          <t>هل تم حل التحديات والمخاطر؟</t>
        </is>
      </c>
      <c r="D40" s="15" t="n"/>
      <c r="E40" s="17" t="inlineStr"/>
      <c r="F40" s="30" t="inlineStr">
        <is>
          <t>الهدف 3</t>
        </is>
      </c>
      <c r="G40" s="4" t="n"/>
    </row>
    <row r="41" ht="30" customHeight="1">
      <c r="B41" s="15" t="n">
        <v>4</v>
      </c>
      <c r="C41" s="17" t="inlineStr">
        <is>
          <t>هل تم متابعة وإغلاق أوامر التغيير؟</t>
        </is>
      </c>
      <c r="D41" s="15" t="n"/>
      <c r="E41" s="17" t="inlineStr"/>
      <c r="F41" s="30" t="inlineStr">
        <is>
          <t>الهدف 3</t>
        </is>
      </c>
      <c r="G41" s="4" t="n"/>
    </row>
    <row r="42" ht="30" customHeight="1">
      <c r="B42" s="15" t="n">
        <v>5</v>
      </c>
      <c r="C42" s="17" t="inlineStr">
        <is>
          <t>هل تم إرسال تقرير أسبوعي لمالك المحفظة؟</t>
        </is>
      </c>
      <c r="D42" s="15" t="n"/>
      <c r="E42" s="17" t="inlineStr"/>
      <c r="F42" s="30" t="inlineStr">
        <is>
          <t>الهدف 4</t>
        </is>
      </c>
      <c r="G42" s="4" t="n"/>
    </row>
    <row r="43" ht="30" customHeight="1">
      <c r="B43" s="15" t="n">
        <v>6</v>
      </c>
      <c r="C43" s="17" t="inlineStr">
        <is>
          <t>هل تم التنبيه بثلاث أسابيع بحلول قرب تسليم المخرجات؟</t>
        </is>
      </c>
      <c r="D43" s="15" t="n"/>
      <c r="E43" s="17" t="inlineStr"/>
      <c r="F43" s="30" t="inlineStr">
        <is>
          <t>الهدف 1</t>
        </is>
      </c>
      <c r="G43" s="4" t="n"/>
    </row>
    <row r="44" ht="30" customHeight="1">
      <c r="B44" s="15" t="n">
        <v>7</v>
      </c>
      <c r="C44" s="17" t="inlineStr">
        <is>
          <t>هل تم متابعة تسليم المخرجات؟</t>
        </is>
      </c>
      <c r="D44" s="15" t="n"/>
      <c r="E44" s="17" t="inlineStr"/>
      <c r="F44" s="30" t="inlineStr">
        <is>
          <t>الهدف 1</t>
        </is>
      </c>
      <c r="G44" s="4" t="n"/>
    </row>
    <row r="45" ht="30" customHeight="1">
      <c r="B45" s="15" t="n">
        <v>8</v>
      </c>
      <c r="C45" s="17" t="inlineStr">
        <is>
          <t>هل تم تحديث الخطة المالية الرئيسية؟</t>
        </is>
      </c>
      <c r="D45" s="15" t="n"/>
      <c r="E45" s="17" t="inlineStr"/>
      <c r="F45" s="30" t="inlineStr">
        <is>
          <t>الهدف 2</t>
        </is>
      </c>
      <c r="G45" s="4" t="n"/>
    </row>
    <row r="46" ht="30" customHeight="1">
      <c r="B46" s="15" t="n">
        <v>9</v>
      </c>
      <c r="C46" s="17" t="inlineStr">
        <is>
          <t>هل تم تصدير شهادات الإنجاز للمالية؟</t>
        </is>
      </c>
      <c r="D46" s="15" t="n"/>
      <c r="E46" s="17" t="inlineStr"/>
      <c r="F46" s="30" t="inlineStr">
        <is>
          <t>الهدف 2</t>
        </is>
      </c>
      <c r="G46" s="4" t="n"/>
    </row>
    <row r="47" ht="30" customHeight="1">
      <c r="B47" s="15" t="n">
        <v>10</v>
      </c>
      <c r="C47" s="17" t="inlineStr">
        <is>
          <t>هل تم متابعة وتحديث المشاريع التشغيلية؟</t>
        </is>
      </c>
      <c r="D47" s="15" t="n"/>
      <c r="E47" s="17" t="inlineStr"/>
      <c r="F47" s="30" t="inlineStr">
        <is>
          <t>الهدف 1</t>
        </is>
      </c>
      <c r="G47" s="4" t="n"/>
    </row>
    <row r="48" ht="30" customHeight="1">
      <c r="B48" s="15" t="n">
        <v>11</v>
      </c>
      <c r="C48" s="17" t="inlineStr">
        <is>
          <t>هل تم رفع جميع الوثائق في نظام ميسر؟</t>
        </is>
      </c>
      <c r="D48" s="15" t="n"/>
      <c r="E48" s="17" t="inlineStr"/>
      <c r="F48" s="30" t="inlineStr">
        <is>
          <t>الهدف 1</t>
        </is>
      </c>
      <c r="G48" s="4" t="n"/>
    </row>
    <row r="49" ht="30" customHeight="1">
      <c r="B49" s="15" t="n">
        <v>12</v>
      </c>
      <c r="C49" s="17" t="inlineStr">
        <is>
          <t>هل يوجد مبادرات وإنجازات تم العمل عليها خلال هذا الأسبوع؟</t>
        </is>
      </c>
      <c r="D49" s="15" t="n"/>
      <c r="E49" s="17" t="inlineStr"/>
      <c r="F49" s="30" t="inlineStr">
        <is>
          <t>الهدف 5</t>
        </is>
      </c>
      <c r="G49" s="4" t="n"/>
    </row>
    <row r="50" ht="30" customHeight="1">
      <c r="B50" s="15" t="n">
        <v>13</v>
      </c>
      <c r="C50" s="17" t="inlineStr">
        <is>
          <t>هل تم الالتزام بمصفوفة الصلاحيات التشغيلية والحوكمة واتباعها؟</t>
        </is>
      </c>
      <c r="D50" s="15" t="n"/>
      <c r="E50" s="17" t="inlineStr"/>
      <c r="F50" s="30" t="inlineStr">
        <is>
          <t>الهدف 1</t>
        </is>
      </c>
      <c r="G50" s="4" t="n"/>
    </row>
    <row r="52">
      <c r="B52" s="28" t="inlineStr">
        <is>
          <t>المشروع: حصر وجرد وترميز وتقييم الأصول لمركز التأمين الصحي الوطني</t>
        </is>
      </c>
      <c r="C52" s="4" t="n"/>
      <c r="D52" s="4" t="n"/>
      <c r="E52" s="4" t="n"/>
      <c r="F52" s="29" t="inlineStr">
        <is>
          <t>المحفظة: المالية</t>
        </is>
      </c>
      <c r="G52" s="4" t="n"/>
    </row>
    <row r="53">
      <c r="B53" s="9" t="inlineStr">
        <is>
          <t>#</t>
        </is>
      </c>
      <c r="C53" s="9" t="inlineStr">
        <is>
          <t>المهمة</t>
        </is>
      </c>
      <c r="D53" s="9" t="inlineStr">
        <is>
          <t>الحالة</t>
        </is>
      </c>
      <c r="E53" s="9" t="inlineStr">
        <is>
          <t>الملاحظات</t>
        </is>
      </c>
      <c r="F53" s="9" t="inlineStr">
        <is>
          <t>ارتباط بالهدف</t>
        </is>
      </c>
      <c r="G53" s="9" t="inlineStr">
        <is>
          <t>حالة المشروع</t>
        </is>
      </c>
    </row>
    <row r="54" ht="30" customHeight="1">
      <c r="B54" s="15" t="n">
        <v>1</v>
      </c>
      <c r="C54" s="17" t="inlineStr">
        <is>
          <t>هل تم تحديث الأنظمة والمنصات المتعلقة بالمشاريع؟</t>
        </is>
      </c>
      <c r="D54" s="15" t="n"/>
      <c r="E54" s="17" t="inlineStr"/>
      <c r="F54" s="30" t="inlineStr">
        <is>
          <t>الهدف 1</t>
        </is>
      </c>
      <c r="G54" s="16">
        <f>IF(COUNTIF(D54:D66,"نعم")=COUNTA(D54:D66),"مكتمل ومغلق",IF(COUNTA(D54:D66)=0,"لم يبدأ","جاري العمل عليه"))</f>
        <v/>
      </c>
    </row>
    <row r="55" ht="30" customHeight="1">
      <c r="B55" s="15" t="n">
        <v>2</v>
      </c>
      <c r="C55" s="17" t="inlineStr">
        <is>
          <t>هل تم تحديث الخطة التفصيلية للمشروع؟</t>
        </is>
      </c>
      <c r="D55" s="15" t="n"/>
      <c r="E55" s="17" t="inlineStr"/>
      <c r="F55" s="30" t="inlineStr">
        <is>
          <t>الهدف 1</t>
        </is>
      </c>
      <c r="G55" s="4" t="n"/>
    </row>
    <row r="56" ht="30" customHeight="1">
      <c r="B56" s="15" t="n">
        <v>3</v>
      </c>
      <c r="C56" s="17" t="inlineStr">
        <is>
          <t>هل تم حل التحديات والمخاطر؟</t>
        </is>
      </c>
      <c r="D56" s="15" t="n"/>
      <c r="E56" s="17" t="inlineStr"/>
      <c r="F56" s="30" t="inlineStr">
        <is>
          <t>الهدف 3</t>
        </is>
      </c>
      <c r="G56" s="4" t="n"/>
    </row>
    <row r="57" ht="30" customHeight="1">
      <c r="B57" s="15" t="n">
        <v>4</v>
      </c>
      <c r="C57" s="17" t="inlineStr">
        <is>
          <t>هل تم متابعة وإغلاق أوامر التغيير؟</t>
        </is>
      </c>
      <c r="D57" s="15" t="n"/>
      <c r="E57" s="17" t="inlineStr"/>
      <c r="F57" s="30" t="inlineStr">
        <is>
          <t>الهدف 3</t>
        </is>
      </c>
      <c r="G57" s="4" t="n"/>
    </row>
    <row r="58" ht="30" customHeight="1">
      <c r="B58" s="15" t="n">
        <v>5</v>
      </c>
      <c r="C58" s="17" t="inlineStr">
        <is>
          <t>هل تم إرسال تقرير أسبوعي لمالك المحفظة؟</t>
        </is>
      </c>
      <c r="D58" s="15" t="n"/>
      <c r="E58" s="17" t="inlineStr"/>
      <c r="F58" s="30" t="inlineStr">
        <is>
          <t>الهدف 4</t>
        </is>
      </c>
      <c r="G58" s="4" t="n"/>
    </row>
    <row r="59" ht="30" customHeight="1">
      <c r="B59" s="15" t="n">
        <v>6</v>
      </c>
      <c r="C59" s="17" t="inlineStr">
        <is>
          <t>هل تم التنبيه بثلاث أسابيع بحلول قرب تسليم المخرجات؟</t>
        </is>
      </c>
      <c r="D59" s="15" t="n"/>
      <c r="E59" s="17" t="inlineStr"/>
      <c r="F59" s="30" t="inlineStr">
        <is>
          <t>الهدف 1</t>
        </is>
      </c>
      <c r="G59" s="4" t="n"/>
    </row>
    <row r="60" ht="30" customHeight="1">
      <c r="B60" s="15" t="n">
        <v>7</v>
      </c>
      <c r="C60" s="17" t="inlineStr">
        <is>
          <t>هل تم متابعة تسليم المخرجات؟</t>
        </is>
      </c>
      <c r="D60" s="15" t="n"/>
      <c r="E60" s="17" t="inlineStr"/>
      <c r="F60" s="30" t="inlineStr">
        <is>
          <t>الهدف 1</t>
        </is>
      </c>
      <c r="G60" s="4" t="n"/>
    </row>
    <row r="61" ht="30" customHeight="1">
      <c r="B61" s="15" t="n">
        <v>8</v>
      </c>
      <c r="C61" s="17" t="inlineStr">
        <is>
          <t>هل تم تحديث الخطة المالية الرئيسية؟</t>
        </is>
      </c>
      <c r="D61" s="15" t="n"/>
      <c r="E61" s="17" t="inlineStr"/>
      <c r="F61" s="30" t="inlineStr">
        <is>
          <t>الهدف 2</t>
        </is>
      </c>
      <c r="G61" s="4" t="n"/>
    </row>
    <row r="62" ht="30" customHeight="1">
      <c r="B62" s="15" t="n">
        <v>9</v>
      </c>
      <c r="C62" s="17" t="inlineStr">
        <is>
          <t>هل تم تصدير شهادات الإنجاز للمالية؟</t>
        </is>
      </c>
      <c r="D62" s="15" t="n"/>
      <c r="E62" s="17" t="inlineStr"/>
      <c r="F62" s="30" t="inlineStr">
        <is>
          <t>الهدف 2</t>
        </is>
      </c>
      <c r="G62" s="4" t="n"/>
    </row>
    <row r="63" ht="30" customHeight="1">
      <c r="B63" s="15" t="n">
        <v>10</v>
      </c>
      <c r="C63" s="17" t="inlineStr">
        <is>
          <t>هل تم متابعة وتحديث المشاريع التشغيلية؟</t>
        </is>
      </c>
      <c r="D63" s="15" t="n"/>
      <c r="E63" s="17" t="inlineStr"/>
      <c r="F63" s="30" t="inlineStr">
        <is>
          <t>الهدف 1</t>
        </is>
      </c>
      <c r="G63" s="4" t="n"/>
    </row>
    <row r="64" ht="30" customHeight="1">
      <c r="B64" s="15" t="n">
        <v>11</v>
      </c>
      <c r="C64" s="17" t="inlineStr">
        <is>
          <t>هل تم رفع جميع الوثائق في نظام ميسر؟</t>
        </is>
      </c>
      <c r="D64" s="15" t="n"/>
      <c r="E64" s="17" t="inlineStr"/>
      <c r="F64" s="30" t="inlineStr">
        <is>
          <t>الهدف 1</t>
        </is>
      </c>
      <c r="G64" s="4" t="n"/>
    </row>
    <row r="65" ht="30" customHeight="1">
      <c r="B65" s="15" t="n">
        <v>12</v>
      </c>
      <c r="C65" s="17" t="inlineStr">
        <is>
          <t>هل يوجد مبادرات وإنجازات تم العمل عليها خلال هذا الأسبوع؟</t>
        </is>
      </c>
      <c r="D65" s="15" t="n"/>
      <c r="E65" s="17" t="inlineStr"/>
      <c r="F65" s="30" t="inlineStr">
        <is>
          <t>الهدف 5</t>
        </is>
      </c>
      <c r="G65" s="4" t="n"/>
    </row>
    <row r="66" ht="30" customHeight="1">
      <c r="B66" s="15" t="n">
        <v>13</v>
      </c>
      <c r="C66" s="17" t="inlineStr">
        <is>
          <t>هل تم الالتزام بمصفوفة الصلاحيات التشغيلية والحوكمة واتباعها؟</t>
        </is>
      </c>
      <c r="D66" s="15" t="n"/>
      <c r="E66" s="17" t="inlineStr"/>
      <c r="F66" s="30" t="inlineStr">
        <is>
          <t>الهدف 1</t>
        </is>
      </c>
      <c r="G66" s="4" t="n"/>
    </row>
    <row r="68">
      <c r="B68" s="28" t="inlineStr">
        <is>
          <t>المشروع: الاحتساب الاكتواري لرصيد مخصص مكافأة نهاية الخدمة لأغراض اعداد القوائم المالية</t>
        </is>
      </c>
      <c r="C68" s="4" t="n"/>
      <c r="D68" s="4" t="n"/>
      <c r="E68" s="4" t="n"/>
      <c r="F68" s="29" t="inlineStr">
        <is>
          <t>المحفظة: المالية</t>
        </is>
      </c>
      <c r="G68" s="4" t="n"/>
    </row>
    <row r="69">
      <c r="B69" s="9" t="inlineStr">
        <is>
          <t>#</t>
        </is>
      </c>
      <c r="C69" s="9" t="inlineStr">
        <is>
          <t>المهمة</t>
        </is>
      </c>
      <c r="D69" s="9" t="inlineStr">
        <is>
          <t>الحالة</t>
        </is>
      </c>
      <c r="E69" s="9" t="inlineStr">
        <is>
          <t>الملاحظات</t>
        </is>
      </c>
      <c r="F69" s="9" t="inlineStr">
        <is>
          <t>ارتباط بالهدف</t>
        </is>
      </c>
      <c r="G69" s="9" t="inlineStr">
        <is>
          <t>حالة المشروع</t>
        </is>
      </c>
    </row>
    <row r="70" ht="30" customHeight="1">
      <c r="B70" s="15" t="n">
        <v>1</v>
      </c>
      <c r="C70" s="17" t="inlineStr">
        <is>
          <t>هل تم تحديث الأنظمة والمنصات المتعلقة بالمشاريع؟</t>
        </is>
      </c>
      <c r="D70" s="15" t="n"/>
      <c r="E70" s="17" t="inlineStr"/>
      <c r="F70" s="30" t="inlineStr">
        <is>
          <t>الهدف 1</t>
        </is>
      </c>
      <c r="G70" s="16">
        <f>IF(COUNTIF(D70:D82,"نعم")=COUNTA(D70:D82),"مكتمل ومغلق",IF(COUNTA(D70:D82)=0,"لم يبدأ","جاري العمل عليه"))</f>
        <v/>
      </c>
    </row>
    <row r="71" ht="30" customHeight="1">
      <c r="B71" s="15" t="n">
        <v>2</v>
      </c>
      <c r="C71" s="17" t="inlineStr">
        <is>
          <t>هل تم تحديث الخطة التفصيلية للمشروع؟</t>
        </is>
      </c>
      <c r="D71" s="15" t="n"/>
      <c r="E71" s="17" t="inlineStr"/>
      <c r="F71" s="30" t="inlineStr">
        <is>
          <t>الهدف 1</t>
        </is>
      </c>
      <c r="G71" s="4" t="n"/>
    </row>
    <row r="72" ht="30" customHeight="1">
      <c r="B72" s="15" t="n">
        <v>3</v>
      </c>
      <c r="C72" s="17" t="inlineStr">
        <is>
          <t>هل تم حل التحديات والمخاطر؟</t>
        </is>
      </c>
      <c r="D72" s="15" t="n"/>
      <c r="E72" s="17" t="inlineStr"/>
      <c r="F72" s="30" t="inlineStr">
        <is>
          <t>الهدف 3</t>
        </is>
      </c>
      <c r="G72" s="4" t="n"/>
    </row>
    <row r="73" ht="30" customHeight="1">
      <c r="B73" s="15" t="n">
        <v>4</v>
      </c>
      <c r="C73" s="17" t="inlineStr">
        <is>
          <t>هل تم متابعة وإغلاق أوامر التغيير؟</t>
        </is>
      </c>
      <c r="D73" s="15" t="n"/>
      <c r="E73" s="17" t="inlineStr"/>
      <c r="F73" s="30" t="inlineStr">
        <is>
          <t>الهدف 3</t>
        </is>
      </c>
      <c r="G73" s="4" t="n"/>
    </row>
    <row r="74" ht="30" customHeight="1">
      <c r="B74" s="15" t="n">
        <v>5</v>
      </c>
      <c r="C74" s="17" t="inlineStr">
        <is>
          <t>هل تم إرسال تقرير أسبوعي لمالك المحفظة؟</t>
        </is>
      </c>
      <c r="D74" s="15" t="n"/>
      <c r="E74" s="17" t="inlineStr"/>
      <c r="F74" s="30" t="inlineStr">
        <is>
          <t>الهدف 4</t>
        </is>
      </c>
      <c r="G74" s="4" t="n"/>
    </row>
    <row r="75" ht="30" customHeight="1">
      <c r="B75" s="15" t="n">
        <v>6</v>
      </c>
      <c r="C75" s="17" t="inlineStr">
        <is>
          <t>هل تم التنبيه بثلاث أسابيع بحلول قرب تسليم المخرجات؟</t>
        </is>
      </c>
      <c r="D75" s="15" t="n"/>
      <c r="E75" s="17" t="inlineStr"/>
      <c r="F75" s="30" t="inlineStr">
        <is>
          <t>الهدف 1</t>
        </is>
      </c>
      <c r="G75" s="4" t="n"/>
    </row>
    <row r="76" ht="30" customHeight="1">
      <c r="B76" s="15" t="n">
        <v>7</v>
      </c>
      <c r="C76" s="17" t="inlineStr">
        <is>
          <t>هل تم متابعة تسليم المخرجات؟</t>
        </is>
      </c>
      <c r="D76" s="15" t="n"/>
      <c r="E76" s="17" t="inlineStr"/>
      <c r="F76" s="30" t="inlineStr">
        <is>
          <t>الهدف 1</t>
        </is>
      </c>
      <c r="G76" s="4" t="n"/>
    </row>
    <row r="77" ht="30" customHeight="1">
      <c r="B77" s="15" t="n">
        <v>8</v>
      </c>
      <c r="C77" s="17" t="inlineStr">
        <is>
          <t>هل تم تحديث الخطة المالية الرئيسية؟</t>
        </is>
      </c>
      <c r="D77" s="15" t="n"/>
      <c r="E77" s="17" t="inlineStr"/>
      <c r="F77" s="30" t="inlineStr">
        <is>
          <t>الهدف 2</t>
        </is>
      </c>
      <c r="G77" s="4" t="n"/>
    </row>
    <row r="78" ht="30" customHeight="1">
      <c r="B78" s="15" t="n">
        <v>9</v>
      </c>
      <c r="C78" s="17" t="inlineStr">
        <is>
          <t>هل تم تصدير شهادات الإنجاز للمالية؟</t>
        </is>
      </c>
      <c r="D78" s="15" t="n"/>
      <c r="E78" s="17" t="inlineStr"/>
      <c r="F78" s="30" t="inlineStr">
        <is>
          <t>الهدف 2</t>
        </is>
      </c>
      <c r="G78" s="4" t="n"/>
    </row>
    <row r="79" ht="30" customHeight="1">
      <c r="B79" s="15" t="n">
        <v>10</v>
      </c>
      <c r="C79" s="17" t="inlineStr">
        <is>
          <t>هل تم متابعة وتحديث المشاريع التشغيلية؟</t>
        </is>
      </c>
      <c r="D79" s="15" t="n"/>
      <c r="E79" s="17" t="inlineStr"/>
      <c r="F79" s="30" t="inlineStr">
        <is>
          <t>الهدف 1</t>
        </is>
      </c>
      <c r="G79" s="4" t="n"/>
    </row>
    <row r="80" ht="30" customHeight="1">
      <c r="B80" s="15" t="n">
        <v>11</v>
      </c>
      <c r="C80" s="17" t="inlineStr">
        <is>
          <t>هل تم رفع جميع الوثائق في نظام ميسر؟</t>
        </is>
      </c>
      <c r="D80" s="15" t="n"/>
      <c r="E80" s="17" t="inlineStr"/>
      <c r="F80" s="30" t="inlineStr">
        <is>
          <t>الهدف 1</t>
        </is>
      </c>
      <c r="G80" s="4" t="n"/>
    </row>
    <row r="81" ht="30" customHeight="1">
      <c r="B81" s="15" t="n">
        <v>12</v>
      </c>
      <c r="C81" s="17" t="inlineStr">
        <is>
          <t>هل يوجد مبادرات وإنجازات تم العمل عليها خلال هذا الأسبوع؟</t>
        </is>
      </c>
      <c r="D81" s="15" t="n"/>
      <c r="E81" s="17" t="inlineStr"/>
      <c r="F81" s="30" t="inlineStr">
        <is>
          <t>الهدف 5</t>
        </is>
      </c>
      <c r="G81" s="4" t="n"/>
    </row>
    <row r="82" ht="30" customHeight="1">
      <c r="B82" s="15" t="n">
        <v>13</v>
      </c>
      <c r="C82" s="17" t="inlineStr">
        <is>
          <t>هل تم الالتزام بمصفوفة الصلاحيات التشغيلية والحوكمة واتباعها؟</t>
        </is>
      </c>
      <c r="D82" s="15" t="n"/>
      <c r="E82" s="17" t="inlineStr"/>
      <c r="F82" s="30" t="inlineStr">
        <is>
          <t>الهدف 1</t>
        </is>
      </c>
      <c r="G82" s="4" t="n"/>
    </row>
    <row r="84">
      <c r="B84" s="28" t="inlineStr">
        <is>
          <t>المشروع: تنسيق تنفيذ عمليات إدارة صحة السكان بشكل تكاملي</t>
        </is>
      </c>
      <c r="C84" s="4" t="n"/>
      <c r="D84" s="4" t="n"/>
      <c r="E84" s="4" t="n"/>
      <c r="F84" s="29" t="inlineStr">
        <is>
          <t>المحفظة: المنافع</t>
        </is>
      </c>
      <c r="G84" s="4" t="n"/>
    </row>
    <row r="85">
      <c r="B85" s="9" t="inlineStr">
        <is>
          <t>#</t>
        </is>
      </c>
      <c r="C85" s="9" t="inlineStr">
        <is>
          <t>المهمة</t>
        </is>
      </c>
      <c r="D85" s="9" t="inlineStr">
        <is>
          <t>الحالة</t>
        </is>
      </c>
      <c r="E85" s="9" t="inlineStr">
        <is>
          <t>الملاحظات</t>
        </is>
      </c>
      <c r="F85" s="9" t="inlineStr">
        <is>
          <t>ارتباط بالهدف</t>
        </is>
      </c>
      <c r="G85" s="9" t="inlineStr">
        <is>
          <t>حالة المشروع</t>
        </is>
      </c>
    </row>
    <row r="86" ht="30" customHeight="1">
      <c r="B86" s="15" t="n">
        <v>1</v>
      </c>
      <c r="C86" s="17" t="inlineStr">
        <is>
          <t>هل تم تحديث الأنظمة والمنصات المتعلقة بالمشاريع؟</t>
        </is>
      </c>
      <c r="D86" s="15" t="n"/>
      <c r="E86" s="17" t="inlineStr"/>
      <c r="F86" s="30" t="inlineStr">
        <is>
          <t>الهدف 1</t>
        </is>
      </c>
      <c r="G86" s="16">
        <f>IF(COUNTIF(D86:D98,"نعم")=COUNTA(D86:D98),"مكتمل ومغلق",IF(COUNTA(D86:D98)=0,"لم يبدأ","جاري العمل عليه"))</f>
        <v/>
      </c>
    </row>
    <row r="87" ht="30" customHeight="1">
      <c r="B87" s="15" t="n">
        <v>2</v>
      </c>
      <c r="C87" s="17" t="inlineStr">
        <is>
          <t>هل تم تحديث الخطة التفصيلية للمشروع؟</t>
        </is>
      </c>
      <c r="D87" s="15" t="n"/>
      <c r="E87" s="17" t="inlineStr"/>
      <c r="F87" s="30" t="inlineStr">
        <is>
          <t>الهدف 1</t>
        </is>
      </c>
      <c r="G87" s="4" t="n"/>
    </row>
    <row r="88" ht="30" customHeight="1">
      <c r="B88" s="15" t="n">
        <v>3</v>
      </c>
      <c r="C88" s="17" t="inlineStr">
        <is>
          <t>هل تم حل التحديات والمخاطر؟</t>
        </is>
      </c>
      <c r="D88" s="15" t="n"/>
      <c r="E88" s="17" t="inlineStr"/>
      <c r="F88" s="30" t="inlineStr">
        <is>
          <t>الهدف 3</t>
        </is>
      </c>
      <c r="G88" s="4" t="n"/>
    </row>
    <row r="89" ht="30" customHeight="1">
      <c r="B89" s="15" t="n">
        <v>4</v>
      </c>
      <c r="C89" s="17" t="inlineStr">
        <is>
          <t>هل تم متابعة وإغلاق أوامر التغيير؟</t>
        </is>
      </c>
      <c r="D89" s="15" t="n"/>
      <c r="E89" s="17" t="inlineStr"/>
      <c r="F89" s="30" t="inlineStr">
        <is>
          <t>الهدف 3</t>
        </is>
      </c>
      <c r="G89" s="4" t="n"/>
    </row>
    <row r="90" ht="30" customHeight="1">
      <c r="B90" s="15" t="n">
        <v>5</v>
      </c>
      <c r="C90" s="17" t="inlineStr">
        <is>
          <t>هل تم إرسال تقرير أسبوعي لمالك المحفظة؟</t>
        </is>
      </c>
      <c r="D90" s="15" t="n"/>
      <c r="E90" s="17" t="inlineStr"/>
      <c r="F90" s="30" t="inlineStr">
        <is>
          <t>الهدف 4</t>
        </is>
      </c>
      <c r="G90" s="4" t="n"/>
    </row>
    <row r="91" ht="30" customHeight="1">
      <c r="B91" s="15" t="n">
        <v>6</v>
      </c>
      <c r="C91" s="17" t="inlineStr">
        <is>
          <t>هل تم التنبيه بثلاث أسابيع بحلول قرب تسليم المخرجات؟</t>
        </is>
      </c>
      <c r="D91" s="15" t="n"/>
      <c r="E91" s="17" t="inlineStr"/>
      <c r="F91" s="30" t="inlineStr">
        <is>
          <t>الهدف 1</t>
        </is>
      </c>
      <c r="G91" s="4" t="n"/>
    </row>
    <row r="92" ht="30" customHeight="1">
      <c r="B92" s="15" t="n">
        <v>7</v>
      </c>
      <c r="C92" s="17" t="inlineStr">
        <is>
          <t>هل تم متابعة تسليم المخرجات؟</t>
        </is>
      </c>
      <c r="D92" s="15" t="n"/>
      <c r="E92" s="17" t="inlineStr"/>
      <c r="F92" s="30" t="inlineStr">
        <is>
          <t>الهدف 1</t>
        </is>
      </c>
      <c r="G92" s="4" t="n"/>
    </row>
    <row r="93" ht="30" customHeight="1">
      <c r="B93" s="15" t="n">
        <v>8</v>
      </c>
      <c r="C93" s="17" t="inlineStr">
        <is>
          <t>هل تم تحديث الخطة المالية الرئيسية؟</t>
        </is>
      </c>
      <c r="D93" s="15" t="n"/>
      <c r="E93" s="17" t="inlineStr"/>
      <c r="F93" s="30" t="inlineStr">
        <is>
          <t>الهدف 2</t>
        </is>
      </c>
      <c r="G93" s="4" t="n"/>
    </row>
    <row r="94" ht="30" customHeight="1">
      <c r="B94" s="15" t="n">
        <v>9</v>
      </c>
      <c r="C94" s="17" t="inlineStr">
        <is>
          <t>هل تم تصدير شهادات الإنجاز للمالية؟</t>
        </is>
      </c>
      <c r="D94" s="15" t="n"/>
      <c r="E94" s="17" t="inlineStr"/>
      <c r="F94" s="30" t="inlineStr">
        <is>
          <t>الهدف 2</t>
        </is>
      </c>
      <c r="G94" s="4" t="n"/>
    </row>
    <row r="95" ht="30" customHeight="1">
      <c r="B95" s="15" t="n">
        <v>10</v>
      </c>
      <c r="C95" s="17" t="inlineStr">
        <is>
          <t>هل تم متابعة وتحديث المشاريع التشغيلية؟</t>
        </is>
      </c>
      <c r="D95" s="15" t="n"/>
      <c r="E95" s="17" t="inlineStr"/>
      <c r="F95" s="30" t="inlineStr">
        <is>
          <t>الهدف 1</t>
        </is>
      </c>
      <c r="G95" s="4" t="n"/>
    </row>
    <row r="96" ht="30" customHeight="1">
      <c r="B96" s="15" t="n">
        <v>11</v>
      </c>
      <c r="C96" s="17" t="inlineStr">
        <is>
          <t>هل تم رفع جميع الوثائق في نظام ميسر؟</t>
        </is>
      </c>
      <c r="D96" s="15" t="n"/>
      <c r="E96" s="17" t="inlineStr"/>
      <c r="F96" s="30" t="inlineStr">
        <is>
          <t>الهدف 1</t>
        </is>
      </c>
      <c r="G96" s="4" t="n"/>
    </row>
    <row r="97" ht="30" customHeight="1">
      <c r="B97" s="15" t="n">
        <v>12</v>
      </c>
      <c r="C97" s="17" t="inlineStr">
        <is>
          <t>هل يوجد مبادرات وإنجازات تم العمل عليها خلال هذا الأسبوع؟</t>
        </is>
      </c>
      <c r="D97" s="15" t="n"/>
      <c r="E97" s="17" t="inlineStr"/>
      <c r="F97" s="30" t="inlineStr">
        <is>
          <t>الهدف 5</t>
        </is>
      </c>
      <c r="G97" s="4" t="n"/>
    </row>
    <row r="98" ht="30" customHeight="1">
      <c r="B98" s="15" t="n">
        <v>13</v>
      </c>
      <c r="C98" s="17" t="inlineStr">
        <is>
          <t>هل تم الالتزام بمصفوفة الصلاحيات التشغيلية والحوكمة واتباعها؟</t>
        </is>
      </c>
      <c r="D98" s="15" t="n"/>
      <c r="E98" s="17" t="inlineStr"/>
      <c r="F98" s="30" t="inlineStr">
        <is>
          <t>الهدف 1</t>
        </is>
      </c>
      <c r="G98" s="4" t="n"/>
    </row>
    <row r="100">
      <c r="B100" s="28" t="inlineStr">
        <is>
          <t>المشروع: تطوير لائحة وثائق تغطية الرعاية الصحية</t>
        </is>
      </c>
      <c r="C100" s="4" t="n"/>
      <c r="D100" s="4" t="n"/>
      <c r="E100" s="4" t="n"/>
      <c r="F100" s="29" t="inlineStr">
        <is>
          <t>المحفظة: القانونية</t>
        </is>
      </c>
      <c r="G100" s="4" t="n"/>
    </row>
    <row r="101">
      <c r="B101" s="9" t="inlineStr">
        <is>
          <t>#</t>
        </is>
      </c>
      <c r="C101" s="9" t="inlineStr">
        <is>
          <t>المهمة</t>
        </is>
      </c>
      <c r="D101" s="9" t="inlineStr">
        <is>
          <t>الحالة</t>
        </is>
      </c>
      <c r="E101" s="9" t="inlineStr">
        <is>
          <t>الملاحظات</t>
        </is>
      </c>
      <c r="F101" s="9" t="inlineStr">
        <is>
          <t>ارتباط بالهدف</t>
        </is>
      </c>
      <c r="G101" s="9" t="inlineStr">
        <is>
          <t>حالة المشروع</t>
        </is>
      </c>
    </row>
    <row r="102" ht="30" customHeight="1">
      <c r="B102" s="15" t="n">
        <v>1</v>
      </c>
      <c r="C102" s="17" t="inlineStr">
        <is>
          <t>هل تم تحديث الأنظمة والمنصات المتعلقة بالمشاريع؟</t>
        </is>
      </c>
      <c r="D102" s="15" t="n"/>
      <c r="E102" s="17" t="inlineStr"/>
      <c r="F102" s="30" t="inlineStr">
        <is>
          <t>الهدف 1</t>
        </is>
      </c>
      <c r="G102" s="16">
        <f>IF(COUNTIF(D102:D114,"نعم")=COUNTA(D102:D114),"مكتمل ومغلق",IF(COUNTA(D102:D114)=0,"لم يبدأ","جاري العمل عليه"))</f>
        <v/>
      </c>
    </row>
    <row r="103" ht="30" customHeight="1">
      <c r="B103" s="15" t="n">
        <v>2</v>
      </c>
      <c r="C103" s="17" t="inlineStr">
        <is>
          <t>هل تم تحديث الخطة التفصيلية للمشروع؟</t>
        </is>
      </c>
      <c r="D103" s="15" t="n"/>
      <c r="E103" s="17" t="inlineStr"/>
      <c r="F103" s="30" t="inlineStr">
        <is>
          <t>الهدف 1</t>
        </is>
      </c>
      <c r="G103" s="4" t="n"/>
    </row>
    <row r="104" ht="30" customHeight="1">
      <c r="B104" s="15" t="n">
        <v>3</v>
      </c>
      <c r="C104" s="17" t="inlineStr">
        <is>
          <t>هل تم حل التحديات والمخاطر؟</t>
        </is>
      </c>
      <c r="D104" s="15" t="n"/>
      <c r="E104" s="17" t="inlineStr"/>
      <c r="F104" s="30" t="inlineStr">
        <is>
          <t>الهدف 3</t>
        </is>
      </c>
      <c r="G104" s="4" t="n"/>
    </row>
    <row r="105" ht="30" customHeight="1">
      <c r="B105" s="15" t="n">
        <v>4</v>
      </c>
      <c r="C105" s="17" t="inlineStr">
        <is>
          <t>هل تم متابعة وإغلاق أوامر التغيير؟</t>
        </is>
      </c>
      <c r="D105" s="15" t="n"/>
      <c r="E105" s="17" t="inlineStr"/>
      <c r="F105" s="30" t="inlineStr">
        <is>
          <t>الهدف 3</t>
        </is>
      </c>
      <c r="G105" s="4" t="n"/>
    </row>
    <row r="106" ht="30" customHeight="1">
      <c r="B106" s="15" t="n">
        <v>5</v>
      </c>
      <c r="C106" s="17" t="inlineStr">
        <is>
          <t>هل تم إرسال تقرير أسبوعي لمالك المحفظة؟</t>
        </is>
      </c>
      <c r="D106" s="15" t="n"/>
      <c r="E106" s="17" t="inlineStr"/>
      <c r="F106" s="30" t="inlineStr">
        <is>
          <t>الهدف 4</t>
        </is>
      </c>
      <c r="G106" s="4" t="n"/>
    </row>
    <row r="107" ht="30" customHeight="1">
      <c r="B107" s="15" t="n">
        <v>6</v>
      </c>
      <c r="C107" s="17" t="inlineStr">
        <is>
          <t>هل تم التنبيه بثلاث أسابيع بحلول قرب تسليم المخرجات؟</t>
        </is>
      </c>
      <c r="D107" s="15" t="n"/>
      <c r="E107" s="17" t="inlineStr"/>
      <c r="F107" s="30" t="inlineStr">
        <is>
          <t>الهدف 1</t>
        </is>
      </c>
      <c r="G107" s="4" t="n"/>
    </row>
    <row r="108" ht="30" customHeight="1">
      <c r="B108" s="15" t="n">
        <v>7</v>
      </c>
      <c r="C108" s="17" t="inlineStr">
        <is>
          <t>هل تم متابعة تسليم المخرجات؟</t>
        </is>
      </c>
      <c r="D108" s="15" t="n"/>
      <c r="E108" s="17" t="inlineStr"/>
      <c r="F108" s="30" t="inlineStr">
        <is>
          <t>الهدف 1</t>
        </is>
      </c>
      <c r="G108" s="4" t="n"/>
    </row>
    <row r="109" ht="30" customHeight="1">
      <c r="B109" s="15" t="n">
        <v>8</v>
      </c>
      <c r="C109" s="17" t="inlineStr">
        <is>
          <t>هل تم تحديث الخطة المالية الرئيسية؟</t>
        </is>
      </c>
      <c r="D109" s="15" t="n"/>
      <c r="E109" s="17" t="inlineStr"/>
      <c r="F109" s="30" t="inlineStr">
        <is>
          <t>الهدف 2</t>
        </is>
      </c>
      <c r="G109" s="4" t="n"/>
    </row>
    <row r="110" ht="30" customHeight="1">
      <c r="B110" s="15" t="n">
        <v>9</v>
      </c>
      <c r="C110" s="17" t="inlineStr">
        <is>
          <t>هل تم تصدير شهادات الإنجاز للمالية؟</t>
        </is>
      </c>
      <c r="D110" s="15" t="n"/>
      <c r="E110" s="17" t="inlineStr"/>
      <c r="F110" s="30" t="inlineStr">
        <is>
          <t>الهدف 2</t>
        </is>
      </c>
      <c r="G110" s="4" t="n"/>
    </row>
    <row r="111" ht="30" customHeight="1">
      <c r="B111" s="15" t="n">
        <v>10</v>
      </c>
      <c r="C111" s="17" t="inlineStr">
        <is>
          <t>هل تم متابعة وتحديث المشاريع التشغيلية؟</t>
        </is>
      </c>
      <c r="D111" s="15" t="n"/>
      <c r="E111" s="17" t="inlineStr"/>
      <c r="F111" s="30" t="inlineStr">
        <is>
          <t>الهدف 1</t>
        </is>
      </c>
      <c r="G111" s="4" t="n"/>
    </row>
    <row r="112" ht="30" customHeight="1">
      <c r="B112" s="15" t="n">
        <v>11</v>
      </c>
      <c r="C112" s="17" t="inlineStr">
        <is>
          <t>هل تم رفع جميع الوثائق في نظام ميسر؟</t>
        </is>
      </c>
      <c r="D112" s="15" t="n"/>
      <c r="E112" s="17" t="inlineStr"/>
      <c r="F112" s="30" t="inlineStr">
        <is>
          <t>الهدف 1</t>
        </is>
      </c>
      <c r="G112" s="4" t="n"/>
    </row>
    <row r="113" ht="30" customHeight="1">
      <c r="B113" s="15" t="n">
        <v>12</v>
      </c>
      <c r="C113" s="17" t="inlineStr">
        <is>
          <t>هل يوجد مبادرات وإنجازات تم العمل عليها خلال هذا الأسبوع؟</t>
        </is>
      </c>
      <c r="D113" s="15" t="n"/>
      <c r="E113" s="17" t="inlineStr"/>
      <c r="F113" s="30" t="inlineStr">
        <is>
          <t>الهدف 5</t>
        </is>
      </c>
      <c r="G113" s="4" t="n"/>
    </row>
    <row r="114" ht="30" customHeight="1">
      <c r="B114" s="15" t="n">
        <v>13</v>
      </c>
      <c r="C114" s="17" t="inlineStr">
        <is>
          <t>هل تم الالتزام بمصفوفة الصلاحيات التشغيلية والحوكمة واتباعها؟</t>
        </is>
      </c>
      <c r="D114" s="15" t="n"/>
      <c r="E114" s="17" t="inlineStr"/>
      <c r="F114" s="30" t="inlineStr">
        <is>
          <t>الهدف 1</t>
        </is>
      </c>
      <c r="G114" s="4" t="n"/>
    </row>
    <row r="117">
      <c r="B117" s="23" t="inlineStr">
        <is>
          <t>الموظف: نايف الجلال</t>
        </is>
      </c>
      <c r="C117" s="4" t="n"/>
      <c r="D117" s="4" t="n"/>
      <c r="E117" s="4" t="n"/>
      <c r="F117" s="4" t="n"/>
      <c r="G117" s="4" t="n"/>
    </row>
    <row r="118">
      <c r="B118" s="28" t="inlineStr">
        <is>
          <t>المشروع: تصميم وتشغيل استراتيجية مركز التأمين الصحي الوطني للشراء من القطاع الخاص</t>
        </is>
      </c>
      <c r="C118" s="4" t="n"/>
      <c r="D118" s="4" t="n"/>
      <c r="E118" s="4" t="n"/>
      <c r="F118" s="29" t="inlineStr">
        <is>
          <t>المحفظة: الشراء الاستراتيجي</t>
        </is>
      </c>
      <c r="G118" s="4" t="n"/>
    </row>
    <row r="119">
      <c r="B119" s="9" t="inlineStr">
        <is>
          <t>#</t>
        </is>
      </c>
      <c r="C119" s="9" t="inlineStr">
        <is>
          <t>المهمة</t>
        </is>
      </c>
      <c r="D119" s="9" t="inlineStr">
        <is>
          <t>الحالة</t>
        </is>
      </c>
      <c r="E119" s="9" t="inlineStr">
        <is>
          <t>الملاحظات</t>
        </is>
      </c>
      <c r="F119" s="9" t="inlineStr">
        <is>
          <t>ارتباط بالهدف</t>
        </is>
      </c>
      <c r="G119" s="9" t="inlineStr">
        <is>
          <t>حالة المشروع</t>
        </is>
      </c>
    </row>
    <row r="120" ht="30" customHeight="1">
      <c r="B120" s="15" t="n">
        <v>1</v>
      </c>
      <c r="C120" s="17" t="inlineStr">
        <is>
          <t>هل تم تحديث الأنظمة والمنصات المتعلقة بالمشاريع؟</t>
        </is>
      </c>
      <c r="D120" s="15" t="n"/>
      <c r="E120" s="17" t="inlineStr"/>
      <c r="F120" s="30" t="inlineStr">
        <is>
          <t>الهدف 1</t>
        </is>
      </c>
      <c r="G120" s="16">
        <f>IF(COUNTIF(D120:D132,"نعم")=COUNTA(D120:D132),"مكتمل ومغلق",IF(COUNTA(D120:D132)=0,"لم يبدأ","جاري العمل عليه"))</f>
        <v/>
      </c>
    </row>
    <row r="121" ht="30" customHeight="1">
      <c r="B121" s="15" t="n">
        <v>2</v>
      </c>
      <c r="C121" s="17" t="inlineStr">
        <is>
          <t>هل تم تحديث الخطة التفصيلية للمشروع؟</t>
        </is>
      </c>
      <c r="D121" s="15" t="n"/>
      <c r="E121" s="17" t="inlineStr"/>
      <c r="F121" s="30" t="inlineStr">
        <is>
          <t>الهدف 1</t>
        </is>
      </c>
      <c r="G121" s="4" t="n"/>
    </row>
    <row r="122" ht="30" customHeight="1">
      <c r="B122" s="15" t="n">
        <v>3</v>
      </c>
      <c r="C122" s="17" t="inlineStr">
        <is>
          <t>هل تم حل التحديات والمخاطر؟</t>
        </is>
      </c>
      <c r="D122" s="15" t="n"/>
      <c r="E122" s="17" t="inlineStr"/>
      <c r="F122" s="30" t="inlineStr">
        <is>
          <t>الهدف 3</t>
        </is>
      </c>
      <c r="G122" s="4" t="n"/>
    </row>
    <row r="123" ht="30" customHeight="1">
      <c r="B123" s="15" t="n">
        <v>4</v>
      </c>
      <c r="C123" s="17" t="inlineStr">
        <is>
          <t>هل تم متابعة وإغلاق أوامر التغيير؟</t>
        </is>
      </c>
      <c r="D123" s="15" t="n"/>
      <c r="E123" s="17" t="inlineStr"/>
      <c r="F123" s="30" t="inlineStr">
        <is>
          <t>الهدف 3</t>
        </is>
      </c>
      <c r="G123" s="4" t="n"/>
    </row>
    <row r="124" ht="30" customHeight="1">
      <c r="B124" s="15" t="n">
        <v>5</v>
      </c>
      <c r="C124" s="17" t="inlineStr">
        <is>
          <t>هل تم إرسال تقرير أسبوعي لمالك المحفظة؟</t>
        </is>
      </c>
      <c r="D124" s="15" t="n"/>
      <c r="E124" s="17" t="inlineStr"/>
      <c r="F124" s="30" t="inlineStr">
        <is>
          <t>الهدف 4</t>
        </is>
      </c>
      <c r="G124" s="4" t="n"/>
    </row>
    <row r="125" ht="30" customHeight="1">
      <c r="B125" s="15" t="n">
        <v>6</v>
      </c>
      <c r="C125" s="17" t="inlineStr">
        <is>
          <t>هل تم التنبيه بثلاث أسابيع بحلول قرب تسليم المخرجات؟</t>
        </is>
      </c>
      <c r="D125" s="15" t="n"/>
      <c r="E125" s="17" t="inlineStr"/>
      <c r="F125" s="30" t="inlineStr">
        <is>
          <t>الهدف 1</t>
        </is>
      </c>
      <c r="G125" s="4" t="n"/>
    </row>
    <row r="126" ht="30" customHeight="1">
      <c r="B126" s="15" t="n">
        <v>7</v>
      </c>
      <c r="C126" s="17" t="inlineStr">
        <is>
          <t>هل تم متابعة تسليم المخرجات؟</t>
        </is>
      </c>
      <c r="D126" s="15" t="n"/>
      <c r="E126" s="17" t="inlineStr"/>
      <c r="F126" s="30" t="inlineStr">
        <is>
          <t>الهدف 1</t>
        </is>
      </c>
      <c r="G126" s="4" t="n"/>
    </row>
    <row r="127" ht="30" customHeight="1">
      <c r="B127" s="15" t="n">
        <v>8</v>
      </c>
      <c r="C127" s="17" t="inlineStr">
        <is>
          <t>هل تم تحديث الخطة المالية الرئيسية؟</t>
        </is>
      </c>
      <c r="D127" s="15" t="n"/>
      <c r="E127" s="17" t="inlineStr"/>
      <c r="F127" s="30" t="inlineStr">
        <is>
          <t>الهدف 2</t>
        </is>
      </c>
      <c r="G127" s="4" t="n"/>
    </row>
    <row r="128" ht="30" customHeight="1">
      <c r="B128" s="15" t="n">
        <v>9</v>
      </c>
      <c r="C128" s="17" t="inlineStr">
        <is>
          <t>هل تم تصدير شهادات الإنجاز للمالية؟</t>
        </is>
      </c>
      <c r="D128" s="15" t="n"/>
      <c r="E128" s="17" t="inlineStr"/>
      <c r="F128" s="30" t="inlineStr">
        <is>
          <t>الهدف 2</t>
        </is>
      </c>
      <c r="G128" s="4" t="n"/>
    </row>
    <row r="129" ht="30" customHeight="1">
      <c r="B129" s="15" t="n">
        <v>10</v>
      </c>
      <c r="C129" s="17" t="inlineStr">
        <is>
          <t>هل تم متابعة وتحديث المشاريع التشغيلية؟</t>
        </is>
      </c>
      <c r="D129" s="15" t="n"/>
      <c r="E129" s="17" t="inlineStr"/>
      <c r="F129" s="30" t="inlineStr">
        <is>
          <t>الهدف 1</t>
        </is>
      </c>
      <c r="G129" s="4" t="n"/>
    </row>
    <row r="130" ht="30" customHeight="1">
      <c r="B130" s="15" t="n">
        <v>11</v>
      </c>
      <c r="C130" s="17" t="inlineStr">
        <is>
          <t>هل تم رفع جميع الوثائق في نظام ميسر؟</t>
        </is>
      </c>
      <c r="D130" s="15" t="n"/>
      <c r="E130" s="17" t="inlineStr"/>
      <c r="F130" s="30" t="inlineStr">
        <is>
          <t>الهدف 1</t>
        </is>
      </c>
      <c r="G130" s="4" t="n"/>
    </row>
    <row r="131" ht="30" customHeight="1">
      <c r="B131" s="15" t="n">
        <v>12</v>
      </c>
      <c r="C131" s="17" t="inlineStr">
        <is>
          <t>هل يوجد مبادرات وإنجازات تم العمل عليها خلال هذا الأسبوع؟</t>
        </is>
      </c>
      <c r="D131" s="15" t="n"/>
      <c r="E131" s="17" t="inlineStr"/>
      <c r="F131" s="30" t="inlineStr">
        <is>
          <t>الهدف 5</t>
        </is>
      </c>
      <c r="G131" s="4" t="n"/>
    </row>
    <row r="132" ht="30" customHeight="1">
      <c r="B132" s="15" t="n">
        <v>13</v>
      </c>
      <c r="C132" s="17" t="inlineStr">
        <is>
          <t>هل تم الالتزام بمصفوفة الصلاحيات التشغيلية والحوكمة واتباعها؟</t>
        </is>
      </c>
      <c r="D132" s="15" t="n"/>
      <c r="E132" s="17" t="inlineStr"/>
      <c r="F132" s="30" t="inlineStr">
        <is>
          <t>الهدف 1</t>
        </is>
      </c>
      <c r="G132" s="4" t="n"/>
    </row>
    <row r="134">
      <c r="B134" s="28" t="inlineStr">
        <is>
          <t>المشروع: مشروع دعم تطوير التصور الشامل حول التأمين على المواطنين</t>
        </is>
      </c>
      <c r="C134" s="4" t="n"/>
      <c r="D134" s="4" t="n"/>
      <c r="E134" s="4" t="n"/>
      <c r="F134" s="29" t="inlineStr">
        <is>
          <t>المحفظة: الاستراتيجية</t>
        </is>
      </c>
      <c r="G134" s="4" t="n"/>
    </row>
    <row r="135">
      <c r="B135" s="9" t="inlineStr">
        <is>
          <t>#</t>
        </is>
      </c>
      <c r="C135" s="9" t="inlineStr">
        <is>
          <t>المهمة</t>
        </is>
      </c>
      <c r="D135" s="9" t="inlineStr">
        <is>
          <t>الحالة</t>
        </is>
      </c>
      <c r="E135" s="9" t="inlineStr">
        <is>
          <t>الملاحظات</t>
        </is>
      </c>
      <c r="F135" s="9" t="inlineStr">
        <is>
          <t>ارتباط بالهدف</t>
        </is>
      </c>
      <c r="G135" s="9" t="inlineStr">
        <is>
          <t>حالة المشروع</t>
        </is>
      </c>
    </row>
    <row r="136" ht="30" customHeight="1">
      <c r="B136" s="15" t="n">
        <v>1</v>
      </c>
      <c r="C136" s="17" t="inlineStr">
        <is>
          <t>هل تم تحديث الأنظمة والمنصات المتعلقة بالمشاريع؟</t>
        </is>
      </c>
      <c r="D136" s="15" t="n"/>
      <c r="E136" s="17" t="inlineStr"/>
      <c r="F136" s="30" t="inlineStr">
        <is>
          <t>الهدف 1</t>
        </is>
      </c>
      <c r="G136" s="16">
        <f>IF(COUNTIF(D136:D148,"نعم")=COUNTA(D136:D148),"مكتمل ومغلق",IF(COUNTA(D136:D148)=0,"لم يبدأ","جاري العمل عليه"))</f>
        <v/>
      </c>
    </row>
    <row r="137" ht="30" customHeight="1">
      <c r="B137" s="15" t="n">
        <v>2</v>
      </c>
      <c r="C137" s="17" t="inlineStr">
        <is>
          <t>هل تم تحديث الخطة التفصيلية للمشروع؟</t>
        </is>
      </c>
      <c r="D137" s="15" t="n"/>
      <c r="E137" s="17" t="inlineStr"/>
      <c r="F137" s="30" t="inlineStr">
        <is>
          <t>الهدف 1</t>
        </is>
      </c>
      <c r="G137" s="4" t="n"/>
    </row>
    <row r="138" ht="30" customHeight="1">
      <c r="B138" s="15" t="n">
        <v>3</v>
      </c>
      <c r="C138" s="17" t="inlineStr">
        <is>
          <t>هل تم حل التحديات والمخاطر؟</t>
        </is>
      </c>
      <c r="D138" s="15" t="n"/>
      <c r="E138" s="17" t="inlineStr"/>
      <c r="F138" s="30" t="inlineStr">
        <is>
          <t>الهدف 3</t>
        </is>
      </c>
      <c r="G138" s="4" t="n"/>
    </row>
    <row r="139" ht="30" customHeight="1">
      <c r="B139" s="15" t="n">
        <v>4</v>
      </c>
      <c r="C139" s="17" t="inlineStr">
        <is>
          <t>هل تم متابعة وإغلاق أوامر التغيير؟</t>
        </is>
      </c>
      <c r="D139" s="15" t="n"/>
      <c r="E139" s="17" t="inlineStr"/>
      <c r="F139" s="30" t="inlineStr">
        <is>
          <t>الهدف 3</t>
        </is>
      </c>
      <c r="G139" s="4" t="n"/>
    </row>
    <row r="140" ht="30" customHeight="1">
      <c r="B140" s="15" t="n">
        <v>5</v>
      </c>
      <c r="C140" s="17" t="inlineStr">
        <is>
          <t>هل تم إرسال تقرير أسبوعي لمالك المحفظة؟</t>
        </is>
      </c>
      <c r="D140" s="15" t="n"/>
      <c r="E140" s="17" t="inlineStr"/>
      <c r="F140" s="30" t="inlineStr">
        <is>
          <t>الهدف 4</t>
        </is>
      </c>
      <c r="G140" s="4" t="n"/>
    </row>
    <row r="141" ht="30" customHeight="1">
      <c r="B141" s="15" t="n">
        <v>6</v>
      </c>
      <c r="C141" s="17" t="inlineStr">
        <is>
          <t>هل تم التنبيه بثلاث أسابيع بحلول قرب تسليم المخرجات؟</t>
        </is>
      </c>
      <c r="D141" s="15" t="n"/>
      <c r="E141" s="17" t="inlineStr"/>
      <c r="F141" s="30" t="inlineStr">
        <is>
          <t>الهدف 1</t>
        </is>
      </c>
      <c r="G141" s="4" t="n"/>
    </row>
    <row r="142" ht="30" customHeight="1">
      <c r="B142" s="15" t="n">
        <v>7</v>
      </c>
      <c r="C142" s="17" t="inlineStr">
        <is>
          <t>هل تم متابعة تسليم المخرجات؟</t>
        </is>
      </c>
      <c r="D142" s="15" t="n"/>
      <c r="E142" s="17" t="inlineStr"/>
      <c r="F142" s="30" t="inlineStr">
        <is>
          <t>الهدف 1</t>
        </is>
      </c>
      <c r="G142" s="4" t="n"/>
    </row>
    <row r="143" ht="30" customHeight="1">
      <c r="B143" s="15" t="n">
        <v>8</v>
      </c>
      <c r="C143" s="17" t="inlineStr">
        <is>
          <t>هل تم تحديث الخطة المالية الرئيسية؟</t>
        </is>
      </c>
      <c r="D143" s="15" t="n"/>
      <c r="E143" s="17" t="inlineStr"/>
      <c r="F143" s="30" t="inlineStr">
        <is>
          <t>الهدف 2</t>
        </is>
      </c>
      <c r="G143" s="4" t="n"/>
    </row>
    <row r="144" ht="30" customHeight="1">
      <c r="B144" s="15" t="n">
        <v>9</v>
      </c>
      <c r="C144" s="17" t="inlineStr">
        <is>
          <t>هل تم تصدير شهادات الإنجاز للمالية؟</t>
        </is>
      </c>
      <c r="D144" s="15" t="n"/>
      <c r="E144" s="17" t="inlineStr"/>
      <c r="F144" s="30" t="inlineStr">
        <is>
          <t>الهدف 2</t>
        </is>
      </c>
      <c r="G144" s="4" t="n"/>
    </row>
    <row r="145" ht="30" customHeight="1">
      <c r="B145" s="15" t="n">
        <v>10</v>
      </c>
      <c r="C145" s="17" t="inlineStr">
        <is>
          <t>هل تم متابعة وتحديث المشاريع التشغيلية؟</t>
        </is>
      </c>
      <c r="D145" s="15" t="n"/>
      <c r="E145" s="17" t="inlineStr"/>
      <c r="F145" s="30" t="inlineStr">
        <is>
          <t>الهدف 1</t>
        </is>
      </c>
      <c r="G145" s="4" t="n"/>
    </row>
    <row r="146" ht="30" customHeight="1">
      <c r="B146" s="15" t="n">
        <v>11</v>
      </c>
      <c r="C146" s="17" t="inlineStr">
        <is>
          <t>هل تم رفع جميع الوثائق في نظام ميسر؟</t>
        </is>
      </c>
      <c r="D146" s="15" t="n"/>
      <c r="E146" s="17" t="inlineStr"/>
      <c r="F146" s="30" t="inlineStr">
        <is>
          <t>الهدف 1</t>
        </is>
      </c>
      <c r="G146" s="4" t="n"/>
    </row>
    <row r="147" ht="30" customHeight="1">
      <c r="B147" s="15" t="n">
        <v>12</v>
      </c>
      <c r="C147" s="17" t="inlineStr">
        <is>
          <t>هل يوجد مبادرات وإنجازات تم العمل عليها خلال هذا الأسبوع؟</t>
        </is>
      </c>
      <c r="D147" s="15" t="n"/>
      <c r="E147" s="17" t="inlineStr"/>
      <c r="F147" s="30" t="inlineStr">
        <is>
          <t>الهدف 5</t>
        </is>
      </c>
      <c r="G147" s="4" t="n"/>
    </row>
    <row r="148" ht="30" customHeight="1">
      <c r="B148" s="15" t="n">
        <v>13</v>
      </c>
      <c r="C148" s="17" t="inlineStr">
        <is>
          <t>هل تم الالتزام بمصفوفة الصلاحيات التشغيلية والحوكمة واتباعها؟</t>
        </is>
      </c>
      <c r="D148" s="15" t="n"/>
      <c r="E148" s="17" t="inlineStr"/>
      <c r="F148" s="30" t="inlineStr">
        <is>
          <t>الهدف 1</t>
        </is>
      </c>
      <c r="G148" s="4" t="n"/>
    </row>
    <row r="150">
      <c r="B150" s="28" t="inlineStr">
        <is>
          <t>المشروع: إدارة عمليات شراء الخدمات الطبية من القطاع الخاص-الإحالة الداخلية ومراجعة المطالبات</t>
        </is>
      </c>
      <c r="C150" s="4" t="n"/>
      <c r="D150" s="4" t="n"/>
      <c r="E150" s="4" t="n"/>
      <c r="F150" s="29" t="inlineStr">
        <is>
          <t>المحفظة: الشراء الاستراتيجي</t>
        </is>
      </c>
      <c r="G150" s="4" t="n"/>
    </row>
    <row r="151">
      <c r="B151" s="9" t="inlineStr">
        <is>
          <t>#</t>
        </is>
      </c>
      <c r="C151" s="9" t="inlineStr">
        <is>
          <t>المهمة</t>
        </is>
      </c>
      <c r="D151" s="9" t="inlineStr">
        <is>
          <t>الحالة</t>
        </is>
      </c>
      <c r="E151" s="9" t="inlineStr">
        <is>
          <t>الملاحظات</t>
        </is>
      </c>
      <c r="F151" s="9" t="inlineStr">
        <is>
          <t>ارتباط بالهدف</t>
        </is>
      </c>
      <c r="G151" s="9" t="inlineStr">
        <is>
          <t>حالة المشروع</t>
        </is>
      </c>
    </row>
    <row r="152" ht="30" customHeight="1">
      <c r="B152" s="15" t="n">
        <v>1</v>
      </c>
      <c r="C152" s="17" t="inlineStr">
        <is>
          <t>هل تم تحديث الأنظمة والمنصات المتعلقة بالمشاريع؟</t>
        </is>
      </c>
      <c r="D152" s="15" t="n"/>
      <c r="E152" s="17" t="inlineStr"/>
      <c r="F152" s="30" t="inlineStr">
        <is>
          <t>الهدف 1</t>
        </is>
      </c>
      <c r="G152" s="16">
        <f>IF(COUNTIF(D152:D164,"نعم")=COUNTA(D152:D164),"مكتمل ومغلق",IF(COUNTA(D152:D164)=0,"لم يبدأ","جاري العمل عليه"))</f>
        <v/>
      </c>
    </row>
    <row r="153" ht="30" customHeight="1">
      <c r="B153" s="15" t="n">
        <v>2</v>
      </c>
      <c r="C153" s="17" t="inlineStr">
        <is>
          <t>هل تم تحديث الخطة التفصيلية للمشروع؟</t>
        </is>
      </c>
      <c r="D153" s="15" t="n"/>
      <c r="E153" s="17" t="inlineStr"/>
      <c r="F153" s="30" t="inlineStr">
        <is>
          <t>الهدف 1</t>
        </is>
      </c>
      <c r="G153" s="4" t="n"/>
    </row>
    <row r="154" ht="30" customHeight="1">
      <c r="B154" s="15" t="n">
        <v>3</v>
      </c>
      <c r="C154" s="17" t="inlineStr">
        <is>
          <t>هل تم حل التحديات والمخاطر؟</t>
        </is>
      </c>
      <c r="D154" s="15" t="n"/>
      <c r="E154" s="17" t="inlineStr"/>
      <c r="F154" s="30" t="inlineStr">
        <is>
          <t>الهدف 3</t>
        </is>
      </c>
      <c r="G154" s="4" t="n"/>
    </row>
    <row r="155" ht="30" customHeight="1">
      <c r="B155" s="15" t="n">
        <v>4</v>
      </c>
      <c r="C155" s="17" t="inlineStr">
        <is>
          <t>هل تم متابعة وإغلاق أوامر التغيير؟</t>
        </is>
      </c>
      <c r="D155" s="15" t="n"/>
      <c r="E155" s="17" t="inlineStr"/>
      <c r="F155" s="30" t="inlineStr">
        <is>
          <t>الهدف 3</t>
        </is>
      </c>
      <c r="G155" s="4" t="n"/>
    </row>
    <row r="156" ht="30" customHeight="1">
      <c r="B156" s="15" t="n">
        <v>5</v>
      </c>
      <c r="C156" s="17" t="inlineStr">
        <is>
          <t>هل تم إرسال تقرير أسبوعي لمالك المحفظة؟</t>
        </is>
      </c>
      <c r="D156" s="15" t="n"/>
      <c r="E156" s="17" t="inlineStr"/>
      <c r="F156" s="30" t="inlineStr">
        <is>
          <t>الهدف 4</t>
        </is>
      </c>
      <c r="G156" s="4" t="n"/>
    </row>
    <row r="157" ht="30" customHeight="1">
      <c r="B157" s="15" t="n">
        <v>6</v>
      </c>
      <c r="C157" s="17" t="inlineStr">
        <is>
          <t>هل تم التنبيه بثلاث أسابيع بحلول قرب تسليم المخرجات؟</t>
        </is>
      </c>
      <c r="D157" s="15" t="n"/>
      <c r="E157" s="17" t="inlineStr"/>
      <c r="F157" s="30" t="inlineStr">
        <is>
          <t>الهدف 1</t>
        </is>
      </c>
      <c r="G157" s="4" t="n"/>
    </row>
    <row r="158" ht="30" customHeight="1">
      <c r="B158" s="15" t="n">
        <v>7</v>
      </c>
      <c r="C158" s="17" t="inlineStr">
        <is>
          <t>هل تم متابعة تسليم المخرجات؟</t>
        </is>
      </c>
      <c r="D158" s="15" t="n"/>
      <c r="E158" s="17" t="inlineStr"/>
      <c r="F158" s="30" t="inlineStr">
        <is>
          <t>الهدف 1</t>
        </is>
      </c>
      <c r="G158" s="4" t="n"/>
    </row>
    <row r="159" ht="30" customHeight="1">
      <c r="B159" s="15" t="n">
        <v>8</v>
      </c>
      <c r="C159" s="17" t="inlineStr">
        <is>
          <t>هل تم تحديث الخطة المالية الرئيسية؟</t>
        </is>
      </c>
      <c r="D159" s="15" t="n"/>
      <c r="E159" s="17" t="inlineStr"/>
      <c r="F159" s="30" t="inlineStr">
        <is>
          <t>الهدف 2</t>
        </is>
      </c>
      <c r="G159" s="4" t="n"/>
    </row>
    <row r="160" ht="30" customHeight="1">
      <c r="B160" s="15" t="n">
        <v>9</v>
      </c>
      <c r="C160" s="17" t="inlineStr">
        <is>
          <t>هل تم تصدير شهادات الإنجاز للمالية؟</t>
        </is>
      </c>
      <c r="D160" s="15" t="n"/>
      <c r="E160" s="17" t="inlineStr"/>
      <c r="F160" s="30" t="inlineStr">
        <is>
          <t>الهدف 2</t>
        </is>
      </c>
      <c r="G160" s="4" t="n"/>
    </row>
    <row r="161" ht="30" customHeight="1">
      <c r="B161" s="15" t="n">
        <v>10</v>
      </c>
      <c r="C161" s="17" t="inlineStr">
        <is>
          <t>هل تم متابعة وتحديث المشاريع التشغيلية؟</t>
        </is>
      </c>
      <c r="D161" s="15" t="n"/>
      <c r="E161" s="17" t="inlineStr"/>
      <c r="F161" s="30" t="inlineStr">
        <is>
          <t>الهدف 1</t>
        </is>
      </c>
      <c r="G161" s="4" t="n"/>
    </row>
    <row r="162" ht="30" customHeight="1">
      <c r="B162" s="15" t="n">
        <v>11</v>
      </c>
      <c r="C162" s="17" t="inlineStr">
        <is>
          <t>هل تم رفع جميع الوثائق في نظام ميسر؟</t>
        </is>
      </c>
      <c r="D162" s="15" t="n"/>
      <c r="E162" s="17" t="inlineStr"/>
      <c r="F162" s="30" t="inlineStr">
        <is>
          <t>الهدف 1</t>
        </is>
      </c>
      <c r="G162" s="4" t="n"/>
    </row>
    <row r="163" ht="30" customHeight="1">
      <c r="B163" s="15" t="n">
        <v>12</v>
      </c>
      <c r="C163" s="17" t="inlineStr">
        <is>
          <t>هل يوجد مبادرات وإنجازات تم العمل عليها خلال هذا الأسبوع؟</t>
        </is>
      </c>
      <c r="D163" s="15" t="n"/>
      <c r="E163" s="17" t="inlineStr"/>
      <c r="F163" s="30" t="inlineStr">
        <is>
          <t>الهدف 5</t>
        </is>
      </c>
      <c r="G163" s="4" t="n"/>
    </row>
    <row r="164" ht="30" customHeight="1">
      <c r="B164" s="15" t="n">
        <v>13</v>
      </c>
      <c r="C164" s="17" t="inlineStr">
        <is>
          <t>هل تم الالتزام بمصفوفة الصلاحيات التشغيلية والحوكمة واتباعها؟</t>
        </is>
      </c>
      <c r="D164" s="15" t="n"/>
      <c r="E164" s="17" t="inlineStr"/>
      <c r="F164" s="30" t="inlineStr">
        <is>
          <t>الهدف 1</t>
        </is>
      </c>
      <c r="G164" s="4" t="n"/>
    </row>
    <row r="166">
      <c r="B166" s="28" t="inlineStr">
        <is>
          <t>المشروع: ادارة الاحالات والمطالبات الطبية للمرضى الذين يتم علاجهم داخل المملكة العربية السعودية</t>
        </is>
      </c>
      <c r="C166" s="4" t="n"/>
      <c r="D166" s="4" t="n"/>
      <c r="E166" s="4" t="n"/>
      <c r="F166" s="29" t="inlineStr">
        <is>
          <t>المحفظة: الشراء الاستراتيجي</t>
        </is>
      </c>
      <c r="G166" s="4" t="n"/>
    </row>
    <row r="167">
      <c r="B167" s="9" t="inlineStr">
        <is>
          <t>#</t>
        </is>
      </c>
      <c r="C167" s="9" t="inlineStr">
        <is>
          <t>المهمة</t>
        </is>
      </c>
      <c r="D167" s="9" t="inlineStr">
        <is>
          <t>الحالة</t>
        </is>
      </c>
      <c r="E167" s="9" t="inlineStr">
        <is>
          <t>الملاحظات</t>
        </is>
      </c>
      <c r="F167" s="9" t="inlineStr">
        <is>
          <t>ارتباط بالهدف</t>
        </is>
      </c>
      <c r="G167" s="9" t="inlineStr">
        <is>
          <t>حالة المشروع</t>
        </is>
      </c>
    </row>
    <row r="168" ht="30" customHeight="1">
      <c r="B168" s="15" t="n">
        <v>1</v>
      </c>
      <c r="C168" s="17" t="inlineStr">
        <is>
          <t>هل تم تحديث الأنظمة والمنصات المتعلقة بالمشاريع؟</t>
        </is>
      </c>
      <c r="D168" s="15" t="n"/>
      <c r="E168" s="17" t="inlineStr"/>
      <c r="F168" s="30" t="inlineStr">
        <is>
          <t>الهدف 1</t>
        </is>
      </c>
      <c r="G168" s="16">
        <f>IF(COUNTIF(D168:D180,"نعم")=COUNTA(D168:D180),"مكتمل ومغلق",IF(COUNTA(D168:D180)=0,"لم يبدأ","جاري العمل عليه"))</f>
        <v/>
      </c>
    </row>
    <row r="169" ht="30" customHeight="1">
      <c r="B169" s="15" t="n">
        <v>2</v>
      </c>
      <c r="C169" s="17" t="inlineStr">
        <is>
          <t>هل تم تحديث الخطة التفصيلية للمشروع؟</t>
        </is>
      </c>
      <c r="D169" s="15" t="n"/>
      <c r="E169" s="17" t="inlineStr"/>
      <c r="F169" s="30" t="inlineStr">
        <is>
          <t>الهدف 1</t>
        </is>
      </c>
      <c r="G169" s="4" t="n"/>
    </row>
    <row r="170" ht="30" customHeight="1">
      <c r="B170" s="15" t="n">
        <v>3</v>
      </c>
      <c r="C170" s="17" t="inlineStr">
        <is>
          <t>هل تم حل التحديات والمخاطر؟</t>
        </is>
      </c>
      <c r="D170" s="15" t="n"/>
      <c r="E170" s="17" t="inlineStr"/>
      <c r="F170" s="30" t="inlineStr">
        <is>
          <t>الهدف 3</t>
        </is>
      </c>
      <c r="G170" s="4" t="n"/>
    </row>
    <row r="171" ht="30" customHeight="1">
      <c r="B171" s="15" t="n">
        <v>4</v>
      </c>
      <c r="C171" s="17" t="inlineStr">
        <is>
          <t>هل تم متابعة وإغلاق أوامر التغيير؟</t>
        </is>
      </c>
      <c r="D171" s="15" t="n"/>
      <c r="E171" s="17" t="inlineStr"/>
      <c r="F171" s="30" t="inlineStr">
        <is>
          <t>الهدف 3</t>
        </is>
      </c>
      <c r="G171" s="4" t="n"/>
    </row>
    <row r="172" ht="30" customHeight="1">
      <c r="B172" s="15" t="n">
        <v>5</v>
      </c>
      <c r="C172" s="17" t="inlineStr">
        <is>
          <t>هل تم إرسال تقرير أسبوعي لمالك المحفظة؟</t>
        </is>
      </c>
      <c r="D172" s="15" t="n"/>
      <c r="E172" s="17" t="inlineStr"/>
      <c r="F172" s="30" t="inlineStr">
        <is>
          <t>الهدف 4</t>
        </is>
      </c>
      <c r="G172" s="4" t="n"/>
    </row>
    <row r="173" ht="30" customHeight="1">
      <c r="B173" s="15" t="n">
        <v>6</v>
      </c>
      <c r="C173" s="17" t="inlineStr">
        <is>
          <t>هل تم التنبيه بثلاث أسابيع بحلول قرب تسليم المخرجات؟</t>
        </is>
      </c>
      <c r="D173" s="15" t="n"/>
      <c r="E173" s="17" t="inlineStr"/>
      <c r="F173" s="30" t="inlineStr">
        <is>
          <t>الهدف 1</t>
        </is>
      </c>
      <c r="G173" s="4" t="n"/>
    </row>
    <row r="174" ht="30" customHeight="1">
      <c r="B174" s="15" t="n">
        <v>7</v>
      </c>
      <c r="C174" s="17" t="inlineStr">
        <is>
          <t>هل تم متابعة تسليم المخرجات؟</t>
        </is>
      </c>
      <c r="D174" s="15" t="n"/>
      <c r="E174" s="17" t="inlineStr"/>
      <c r="F174" s="30" t="inlineStr">
        <is>
          <t>الهدف 1</t>
        </is>
      </c>
      <c r="G174" s="4" t="n"/>
    </row>
    <row r="175" ht="30" customHeight="1">
      <c r="B175" s="15" t="n">
        <v>8</v>
      </c>
      <c r="C175" s="17" t="inlineStr">
        <is>
          <t>هل تم تحديث الخطة المالية الرئيسية؟</t>
        </is>
      </c>
      <c r="D175" s="15" t="n"/>
      <c r="E175" s="17" t="inlineStr"/>
      <c r="F175" s="30" t="inlineStr">
        <is>
          <t>الهدف 2</t>
        </is>
      </c>
      <c r="G175" s="4" t="n"/>
    </row>
    <row r="176" ht="30" customHeight="1">
      <c r="B176" s="15" t="n">
        <v>9</v>
      </c>
      <c r="C176" s="17" t="inlineStr">
        <is>
          <t>هل تم تصدير شهادات الإنجاز للمالية؟</t>
        </is>
      </c>
      <c r="D176" s="15" t="n"/>
      <c r="E176" s="17" t="inlineStr"/>
      <c r="F176" s="30" t="inlineStr">
        <is>
          <t>الهدف 2</t>
        </is>
      </c>
      <c r="G176" s="4" t="n"/>
    </row>
    <row r="177" ht="30" customHeight="1">
      <c r="B177" s="15" t="n">
        <v>10</v>
      </c>
      <c r="C177" s="17" t="inlineStr">
        <is>
          <t>هل تم متابعة وتحديث المشاريع التشغيلية؟</t>
        </is>
      </c>
      <c r="D177" s="15" t="n"/>
      <c r="E177" s="17" t="inlineStr"/>
      <c r="F177" s="30" t="inlineStr">
        <is>
          <t>الهدف 1</t>
        </is>
      </c>
      <c r="G177" s="4" t="n"/>
    </row>
    <row r="178" ht="30" customHeight="1">
      <c r="B178" s="15" t="n">
        <v>11</v>
      </c>
      <c r="C178" s="17" t="inlineStr">
        <is>
          <t>هل تم رفع جميع الوثائق في نظام ميسر؟</t>
        </is>
      </c>
      <c r="D178" s="15" t="n"/>
      <c r="E178" s="17" t="inlineStr"/>
      <c r="F178" s="30" t="inlineStr">
        <is>
          <t>الهدف 1</t>
        </is>
      </c>
      <c r="G178" s="4" t="n"/>
    </row>
    <row r="179" ht="30" customHeight="1">
      <c r="B179" s="15" t="n">
        <v>12</v>
      </c>
      <c r="C179" s="17" t="inlineStr">
        <is>
          <t>هل يوجد مبادرات وإنجازات تم العمل عليها خلال هذا الأسبوع؟</t>
        </is>
      </c>
      <c r="D179" s="15" t="n"/>
      <c r="E179" s="17" t="inlineStr"/>
      <c r="F179" s="30" t="inlineStr">
        <is>
          <t>الهدف 5</t>
        </is>
      </c>
      <c r="G179" s="4" t="n"/>
    </row>
    <row r="180" ht="30" customHeight="1">
      <c r="B180" s="15" t="n">
        <v>13</v>
      </c>
      <c r="C180" s="17" t="inlineStr">
        <is>
          <t>هل تم الالتزام بمصفوفة الصلاحيات التشغيلية والحوكمة واتباعها؟</t>
        </is>
      </c>
      <c r="D180" s="15" t="n"/>
      <c r="E180" s="17" t="inlineStr"/>
      <c r="F180" s="30" t="inlineStr">
        <is>
          <t>الهدف 1</t>
        </is>
      </c>
      <c r="G180" s="4" t="n"/>
    </row>
    <row r="182">
      <c r="B182" s="28" t="inlineStr">
        <is>
          <t>المشروع: ادارة الاحالات والمطالبات الطبية للمرضى الذين يتم علاجهم خارج المملكة العربية السعودية</t>
        </is>
      </c>
      <c r="C182" s="4" t="n"/>
      <c r="D182" s="4" t="n"/>
      <c r="E182" s="4" t="n"/>
      <c r="F182" s="29" t="inlineStr">
        <is>
          <t>المحفظة: الشراء الاستراتيجي</t>
        </is>
      </c>
      <c r="G182" s="4" t="n"/>
    </row>
    <row r="183">
      <c r="B183" s="9" t="inlineStr">
        <is>
          <t>#</t>
        </is>
      </c>
      <c r="C183" s="9" t="inlineStr">
        <is>
          <t>المهمة</t>
        </is>
      </c>
      <c r="D183" s="9" t="inlineStr">
        <is>
          <t>الحالة</t>
        </is>
      </c>
      <c r="E183" s="9" t="inlineStr">
        <is>
          <t>الملاحظات</t>
        </is>
      </c>
      <c r="F183" s="9" t="inlineStr">
        <is>
          <t>ارتباط بالهدف</t>
        </is>
      </c>
      <c r="G183" s="9" t="inlineStr">
        <is>
          <t>حالة المشروع</t>
        </is>
      </c>
    </row>
    <row r="184" ht="30" customHeight="1">
      <c r="B184" s="15" t="n">
        <v>1</v>
      </c>
      <c r="C184" s="17" t="inlineStr">
        <is>
          <t>هل تم تحديث الأنظمة والمنصات المتعلقة بالمشاريع؟</t>
        </is>
      </c>
      <c r="D184" s="15" t="n"/>
      <c r="E184" s="17" t="inlineStr"/>
      <c r="F184" s="30" t="inlineStr">
        <is>
          <t>الهدف 1</t>
        </is>
      </c>
      <c r="G184" s="16">
        <f>IF(COUNTIF(D184:D196,"نعم")=COUNTA(D184:D196),"مكتمل ومغلق",IF(COUNTA(D184:D196)=0,"لم يبدأ","جاري العمل عليه"))</f>
        <v/>
      </c>
    </row>
    <row r="185" ht="30" customHeight="1">
      <c r="B185" s="15" t="n">
        <v>2</v>
      </c>
      <c r="C185" s="17" t="inlineStr">
        <is>
          <t>هل تم تحديث الخطة التفصيلية للمشروع؟</t>
        </is>
      </c>
      <c r="D185" s="15" t="n"/>
      <c r="E185" s="17" t="inlineStr"/>
      <c r="F185" s="30" t="inlineStr">
        <is>
          <t>الهدف 1</t>
        </is>
      </c>
      <c r="G185" s="4" t="n"/>
    </row>
    <row r="186" ht="30" customHeight="1">
      <c r="B186" s="15" t="n">
        <v>3</v>
      </c>
      <c r="C186" s="17" t="inlineStr">
        <is>
          <t>هل تم حل التحديات والمخاطر؟</t>
        </is>
      </c>
      <c r="D186" s="15" t="n"/>
      <c r="E186" s="17" t="inlineStr"/>
      <c r="F186" s="30" t="inlineStr">
        <is>
          <t>الهدف 3</t>
        </is>
      </c>
      <c r="G186" s="4" t="n"/>
    </row>
    <row r="187" ht="30" customHeight="1">
      <c r="B187" s="15" t="n">
        <v>4</v>
      </c>
      <c r="C187" s="17" t="inlineStr">
        <is>
          <t>هل تم متابعة وإغلاق أوامر التغيير؟</t>
        </is>
      </c>
      <c r="D187" s="15" t="n"/>
      <c r="E187" s="17" t="inlineStr"/>
      <c r="F187" s="30" t="inlineStr">
        <is>
          <t>الهدف 3</t>
        </is>
      </c>
      <c r="G187" s="4" t="n"/>
    </row>
    <row r="188" ht="30" customHeight="1">
      <c r="B188" s="15" t="n">
        <v>5</v>
      </c>
      <c r="C188" s="17" t="inlineStr">
        <is>
          <t>هل تم إرسال تقرير أسبوعي لمالك المحفظة؟</t>
        </is>
      </c>
      <c r="D188" s="15" t="n"/>
      <c r="E188" s="17" t="inlineStr"/>
      <c r="F188" s="30" t="inlineStr">
        <is>
          <t>الهدف 4</t>
        </is>
      </c>
      <c r="G188" s="4" t="n"/>
    </row>
    <row r="189" ht="30" customHeight="1">
      <c r="B189" s="15" t="n">
        <v>6</v>
      </c>
      <c r="C189" s="17" t="inlineStr">
        <is>
          <t>هل تم التنبيه بثلاث أسابيع بحلول قرب تسليم المخرجات؟</t>
        </is>
      </c>
      <c r="D189" s="15" t="n"/>
      <c r="E189" s="17" t="inlineStr"/>
      <c r="F189" s="30" t="inlineStr">
        <is>
          <t>الهدف 1</t>
        </is>
      </c>
      <c r="G189" s="4" t="n"/>
    </row>
    <row r="190" ht="30" customHeight="1">
      <c r="B190" s="15" t="n">
        <v>7</v>
      </c>
      <c r="C190" s="17" t="inlineStr">
        <is>
          <t>هل تم متابعة تسليم المخرجات؟</t>
        </is>
      </c>
      <c r="D190" s="15" t="n"/>
      <c r="E190" s="17" t="inlineStr"/>
      <c r="F190" s="30" t="inlineStr">
        <is>
          <t>الهدف 1</t>
        </is>
      </c>
      <c r="G190" s="4" t="n"/>
    </row>
    <row r="191" ht="30" customHeight="1">
      <c r="B191" s="15" t="n">
        <v>8</v>
      </c>
      <c r="C191" s="17" t="inlineStr">
        <is>
          <t>هل تم تحديث الخطة المالية الرئيسية؟</t>
        </is>
      </c>
      <c r="D191" s="15" t="n"/>
      <c r="E191" s="17" t="inlineStr"/>
      <c r="F191" s="30" t="inlineStr">
        <is>
          <t>الهدف 2</t>
        </is>
      </c>
      <c r="G191" s="4" t="n"/>
    </row>
    <row r="192" ht="30" customHeight="1">
      <c r="B192" s="15" t="n">
        <v>9</v>
      </c>
      <c r="C192" s="17" t="inlineStr">
        <is>
          <t>هل تم تصدير شهادات الإنجاز للمالية؟</t>
        </is>
      </c>
      <c r="D192" s="15" t="n"/>
      <c r="E192" s="17" t="inlineStr"/>
      <c r="F192" s="30" t="inlineStr">
        <is>
          <t>الهدف 2</t>
        </is>
      </c>
      <c r="G192" s="4" t="n"/>
    </row>
    <row r="193" ht="30" customHeight="1">
      <c r="B193" s="15" t="n">
        <v>10</v>
      </c>
      <c r="C193" s="17" t="inlineStr">
        <is>
          <t>هل تم متابعة وتحديث المشاريع التشغيلية؟</t>
        </is>
      </c>
      <c r="D193" s="15" t="n"/>
      <c r="E193" s="17" t="inlineStr"/>
      <c r="F193" s="30" t="inlineStr">
        <is>
          <t>الهدف 1</t>
        </is>
      </c>
      <c r="G193" s="4" t="n"/>
    </row>
    <row r="194" ht="30" customHeight="1">
      <c r="B194" s="15" t="n">
        <v>11</v>
      </c>
      <c r="C194" s="17" t="inlineStr">
        <is>
          <t>هل تم رفع جميع الوثائق في نظام ميسر؟</t>
        </is>
      </c>
      <c r="D194" s="15" t="n"/>
      <c r="E194" s="17" t="inlineStr"/>
      <c r="F194" s="30" t="inlineStr">
        <is>
          <t>الهدف 1</t>
        </is>
      </c>
      <c r="G194" s="4" t="n"/>
    </row>
    <row r="195" ht="30" customHeight="1">
      <c r="B195" s="15" t="n">
        <v>12</v>
      </c>
      <c r="C195" s="17" t="inlineStr">
        <is>
          <t>هل يوجد مبادرات وإنجازات تم العمل عليها خلال هذا الأسبوع؟</t>
        </is>
      </c>
      <c r="D195" s="15" t="n"/>
      <c r="E195" s="17" t="inlineStr"/>
      <c r="F195" s="30" t="inlineStr">
        <is>
          <t>الهدف 5</t>
        </is>
      </c>
      <c r="G195" s="4" t="n"/>
    </row>
    <row r="196" ht="30" customHeight="1">
      <c r="B196" s="15" t="n">
        <v>13</v>
      </c>
      <c r="C196" s="17" t="inlineStr">
        <is>
          <t>هل تم الالتزام بمصفوفة الصلاحيات التشغيلية والحوكمة واتباعها؟</t>
        </is>
      </c>
      <c r="D196" s="15" t="n"/>
      <c r="E196" s="17" t="inlineStr"/>
      <c r="F196" s="30" t="inlineStr">
        <is>
          <t>الهدف 1</t>
        </is>
      </c>
      <c r="G196" s="4" t="n"/>
    </row>
    <row r="198">
      <c r="B198" s="28" t="inlineStr">
        <is>
          <t>المشروع: إنشاء وتفعيل وحدة الشفافية المالية والاستدامة التابعة لمركز التأمين الصحي الوطني</t>
        </is>
      </c>
      <c r="C198" s="4" t="n"/>
      <c r="D198" s="4" t="n"/>
      <c r="E198" s="4" t="n"/>
      <c r="F198" s="29" t="inlineStr">
        <is>
          <t>المحفظة: الاستدامة المالية</t>
        </is>
      </c>
      <c r="G198" s="4" t="n"/>
    </row>
    <row r="199">
      <c r="B199" s="9" t="inlineStr">
        <is>
          <t>#</t>
        </is>
      </c>
      <c r="C199" s="9" t="inlineStr">
        <is>
          <t>المهمة</t>
        </is>
      </c>
      <c r="D199" s="9" t="inlineStr">
        <is>
          <t>الحالة</t>
        </is>
      </c>
      <c r="E199" s="9" t="inlineStr">
        <is>
          <t>الملاحظات</t>
        </is>
      </c>
      <c r="F199" s="9" t="inlineStr">
        <is>
          <t>ارتباط بالهدف</t>
        </is>
      </c>
      <c r="G199" s="9" t="inlineStr">
        <is>
          <t>حالة المشروع</t>
        </is>
      </c>
    </row>
    <row r="200" ht="30" customHeight="1">
      <c r="B200" s="15" t="n">
        <v>1</v>
      </c>
      <c r="C200" s="17" t="inlineStr">
        <is>
          <t>هل تم تحديث الأنظمة والمنصات المتعلقة بالمشاريع؟</t>
        </is>
      </c>
      <c r="D200" s="15" t="n"/>
      <c r="E200" s="17" t="inlineStr"/>
      <c r="F200" s="30" t="inlineStr">
        <is>
          <t>الهدف 1</t>
        </is>
      </c>
      <c r="G200" s="16">
        <f>IF(COUNTIF(D200:D212,"نعم")=COUNTA(D200:D212),"مكتمل ومغلق",IF(COUNTA(D200:D212)=0,"لم يبدأ","جاري العمل عليه"))</f>
        <v/>
      </c>
    </row>
    <row r="201" ht="30" customHeight="1">
      <c r="B201" s="15" t="n">
        <v>2</v>
      </c>
      <c r="C201" s="17" t="inlineStr">
        <is>
          <t>هل تم تحديث الخطة التفصيلية للمشروع؟</t>
        </is>
      </c>
      <c r="D201" s="15" t="n"/>
      <c r="E201" s="17" t="inlineStr"/>
      <c r="F201" s="30" t="inlineStr">
        <is>
          <t>الهدف 1</t>
        </is>
      </c>
      <c r="G201" s="4" t="n"/>
    </row>
    <row r="202" ht="30" customHeight="1">
      <c r="B202" s="15" t="n">
        <v>3</v>
      </c>
      <c r="C202" s="17" t="inlineStr">
        <is>
          <t>هل تم حل التحديات والمخاطر؟</t>
        </is>
      </c>
      <c r="D202" s="15" t="n"/>
      <c r="E202" s="17" t="inlineStr"/>
      <c r="F202" s="30" t="inlineStr">
        <is>
          <t>الهدف 3</t>
        </is>
      </c>
      <c r="G202" s="4" t="n"/>
    </row>
    <row r="203" ht="30" customHeight="1">
      <c r="B203" s="15" t="n">
        <v>4</v>
      </c>
      <c r="C203" s="17" t="inlineStr">
        <is>
          <t>هل تم متابعة وإغلاق أوامر التغيير؟</t>
        </is>
      </c>
      <c r="D203" s="15" t="n"/>
      <c r="E203" s="17" t="inlineStr"/>
      <c r="F203" s="30" t="inlineStr">
        <is>
          <t>الهدف 3</t>
        </is>
      </c>
      <c r="G203" s="4" t="n"/>
    </row>
    <row r="204" ht="30" customHeight="1">
      <c r="B204" s="15" t="n">
        <v>5</v>
      </c>
      <c r="C204" s="17" t="inlineStr">
        <is>
          <t>هل تم إرسال تقرير أسبوعي لمالك المحفظة؟</t>
        </is>
      </c>
      <c r="D204" s="15" t="n"/>
      <c r="E204" s="17" t="inlineStr"/>
      <c r="F204" s="30" t="inlineStr">
        <is>
          <t>الهدف 4</t>
        </is>
      </c>
      <c r="G204" s="4" t="n"/>
    </row>
    <row r="205" ht="30" customHeight="1">
      <c r="B205" s="15" t="n">
        <v>6</v>
      </c>
      <c r="C205" s="17" t="inlineStr">
        <is>
          <t>هل تم التنبيه بثلاث أسابيع بحلول قرب تسليم المخرجات؟</t>
        </is>
      </c>
      <c r="D205" s="15" t="n"/>
      <c r="E205" s="17" t="inlineStr"/>
      <c r="F205" s="30" t="inlineStr">
        <is>
          <t>الهدف 1</t>
        </is>
      </c>
      <c r="G205" s="4" t="n"/>
    </row>
    <row r="206" ht="30" customHeight="1">
      <c r="B206" s="15" t="n">
        <v>7</v>
      </c>
      <c r="C206" s="17" t="inlineStr">
        <is>
          <t>هل تم متابعة تسليم المخرجات؟</t>
        </is>
      </c>
      <c r="D206" s="15" t="n"/>
      <c r="E206" s="17" t="inlineStr"/>
      <c r="F206" s="30" t="inlineStr">
        <is>
          <t>الهدف 1</t>
        </is>
      </c>
      <c r="G206" s="4" t="n"/>
    </row>
    <row r="207" ht="30" customHeight="1">
      <c r="B207" s="15" t="n">
        <v>8</v>
      </c>
      <c r="C207" s="17" t="inlineStr">
        <is>
          <t>هل تم تحديث الخطة المالية الرئيسية؟</t>
        </is>
      </c>
      <c r="D207" s="15" t="n"/>
      <c r="E207" s="17" t="inlineStr"/>
      <c r="F207" s="30" t="inlineStr">
        <is>
          <t>الهدف 2</t>
        </is>
      </c>
      <c r="G207" s="4" t="n"/>
    </row>
    <row r="208" ht="30" customHeight="1">
      <c r="B208" s="15" t="n">
        <v>9</v>
      </c>
      <c r="C208" s="17" t="inlineStr">
        <is>
          <t>هل تم تصدير شهادات الإنجاز للمالية؟</t>
        </is>
      </c>
      <c r="D208" s="15" t="n"/>
      <c r="E208" s="17" t="inlineStr"/>
      <c r="F208" s="30" t="inlineStr">
        <is>
          <t>الهدف 2</t>
        </is>
      </c>
      <c r="G208" s="4" t="n"/>
    </row>
    <row r="209" ht="30" customHeight="1">
      <c r="B209" s="15" t="n">
        <v>10</v>
      </c>
      <c r="C209" s="17" t="inlineStr">
        <is>
          <t>هل تم متابعة وتحديث المشاريع التشغيلية؟</t>
        </is>
      </c>
      <c r="D209" s="15" t="n"/>
      <c r="E209" s="17" t="inlineStr"/>
      <c r="F209" s="30" t="inlineStr">
        <is>
          <t>الهدف 1</t>
        </is>
      </c>
      <c r="G209" s="4" t="n"/>
    </row>
    <row r="210" ht="30" customHeight="1">
      <c r="B210" s="15" t="n">
        <v>11</v>
      </c>
      <c r="C210" s="17" t="inlineStr">
        <is>
          <t>هل تم رفع جميع الوثائق في نظام ميسر؟</t>
        </is>
      </c>
      <c r="D210" s="15" t="n"/>
      <c r="E210" s="17" t="inlineStr"/>
      <c r="F210" s="30" t="inlineStr">
        <is>
          <t>الهدف 1</t>
        </is>
      </c>
      <c r="G210" s="4" t="n"/>
    </row>
    <row r="211" ht="30" customHeight="1">
      <c r="B211" s="15" t="n">
        <v>12</v>
      </c>
      <c r="C211" s="17" t="inlineStr">
        <is>
          <t>هل يوجد مبادرات وإنجازات تم العمل عليها خلال هذا الأسبوع؟</t>
        </is>
      </c>
      <c r="D211" s="15" t="n"/>
      <c r="E211" s="17" t="inlineStr"/>
      <c r="F211" s="30" t="inlineStr">
        <is>
          <t>الهدف 5</t>
        </is>
      </c>
      <c r="G211" s="4" t="n"/>
    </row>
    <row r="212" ht="30" customHeight="1">
      <c r="B212" s="15" t="n">
        <v>13</v>
      </c>
      <c r="C212" s="17" t="inlineStr">
        <is>
          <t>هل تم الالتزام بمصفوفة الصلاحيات التشغيلية والحوكمة واتباعها؟</t>
        </is>
      </c>
      <c r="D212" s="15" t="n"/>
      <c r="E212" s="17" t="inlineStr"/>
      <c r="F212" s="30" t="inlineStr">
        <is>
          <t>الهدف 1</t>
        </is>
      </c>
      <c r="G212" s="4" t="n"/>
    </row>
    <row r="215">
      <c r="B215" s="23" t="inlineStr">
        <is>
          <t>الموظف: عبد العزيز المعجل</t>
        </is>
      </c>
      <c r="C215" s="4" t="n"/>
      <c r="D215" s="4" t="n"/>
      <c r="E215" s="4" t="n"/>
      <c r="F215" s="4" t="n"/>
      <c r="G215" s="4" t="n"/>
    </row>
    <row r="216">
      <c r="B216" s="28" t="inlineStr">
        <is>
          <t>المشروع: مشروع انشاء وحدة التحكم والتحول في مركز التأمين الصحي الوطني</t>
        </is>
      </c>
      <c r="C216" s="4" t="n"/>
      <c r="D216" s="4" t="n"/>
      <c r="E216" s="4" t="n"/>
      <c r="F216" s="29" t="inlineStr">
        <is>
          <t>المحفظة: مكتب الرئيس التنفيذي</t>
        </is>
      </c>
      <c r="G216" s="4" t="n"/>
    </row>
    <row r="217">
      <c r="B217" s="9" t="inlineStr">
        <is>
          <t>#</t>
        </is>
      </c>
      <c r="C217" s="9" t="inlineStr">
        <is>
          <t>المهمة</t>
        </is>
      </c>
      <c r="D217" s="9" t="inlineStr">
        <is>
          <t>الحالة</t>
        </is>
      </c>
      <c r="E217" s="9" t="inlineStr">
        <is>
          <t>الملاحظات</t>
        </is>
      </c>
      <c r="F217" s="9" t="inlineStr">
        <is>
          <t>ارتباط بالهدف</t>
        </is>
      </c>
      <c r="G217" s="9" t="inlineStr">
        <is>
          <t>حالة المشروع</t>
        </is>
      </c>
    </row>
    <row r="218" ht="30" customHeight="1">
      <c r="B218" s="15" t="n">
        <v>1</v>
      </c>
      <c r="C218" s="17" t="inlineStr">
        <is>
          <t>هل تم تحديث الأنظمة والمنصات المتعلقة بالمشاريع؟</t>
        </is>
      </c>
      <c r="D218" s="15" t="n"/>
      <c r="E218" s="17" t="inlineStr"/>
      <c r="F218" s="30" t="inlineStr">
        <is>
          <t>الهدف 1</t>
        </is>
      </c>
      <c r="G218" s="16">
        <f>IF(COUNTIF(D218:D230,"نعم")=COUNTA(D218:D230),"مكتمل ومغلق",IF(COUNTA(D218:D230)=0,"لم يبدأ","جاري العمل عليه"))</f>
        <v/>
      </c>
    </row>
    <row r="219" ht="30" customHeight="1">
      <c r="B219" s="15" t="n">
        <v>2</v>
      </c>
      <c r="C219" s="17" t="inlineStr">
        <is>
          <t>هل تم تحديث الخطة التفصيلية للمشروع؟</t>
        </is>
      </c>
      <c r="D219" s="15" t="n"/>
      <c r="E219" s="17" t="inlineStr"/>
      <c r="F219" s="30" t="inlineStr">
        <is>
          <t>الهدف 1</t>
        </is>
      </c>
      <c r="G219" s="4" t="n"/>
    </row>
    <row r="220" ht="30" customHeight="1">
      <c r="B220" s="15" t="n">
        <v>3</v>
      </c>
      <c r="C220" s="17" t="inlineStr">
        <is>
          <t>هل تم حل التحديات والمخاطر؟</t>
        </is>
      </c>
      <c r="D220" s="15" t="n"/>
      <c r="E220" s="17" t="inlineStr"/>
      <c r="F220" s="30" t="inlineStr">
        <is>
          <t>الهدف 3</t>
        </is>
      </c>
      <c r="G220" s="4" t="n"/>
    </row>
    <row r="221" ht="30" customHeight="1">
      <c r="B221" s="15" t="n">
        <v>4</v>
      </c>
      <c r="C221" s="17" t="inlineStr">
        <is>
          <t>هل تم متابعة وإغلاق أوامر التغيير؟</t>
        </is>
      </c>
      <c r="D221" s="15" t="n"/>
      <c r="E221" s="17" t="inlineStr"/>
      <c r="F221" s="30" t="inlineStr">
        <is>
          <t>الهدف 3</t>
        </is>
      </c>
      <c r="G221" s="4" t="n"/>
    </row>
    <row r="222" ht="30" customHeight="1">
      <c r="B222" s="15" t="n">
        <v>5</v>
      </c>
      <c r="C222" s="17" t="inlineStr">
        <is>
          <t>هل تم إرسال تقرير أسبوعي لمالك المحفظة؟</t>
        </is>
      </c>
      <c r="D222" s="15" t="n"/>
      <c r="E222" s="17" t="inlineStr"/>
      <c r="F222" s="30" t="inlineStr">
        <is>
          <t>الهدف 4</t>
        </is>
      </c>
      <c r="G222" s="4" t="n"/>
    </row>
    <row r="223" ht="30" customHeight="1">
      <c r="B223" s="15" t="n">
        <v>6</v>
      </c>
      <c r="C223" s="17" t="inlineStr">
        <is>
          <t>هل تم التنبيه بثلاث أسابيع بحلول قرب تسليم المخرجات؟</t>
        </is>
      </c>
      <c r="D223" s="15" t="n"/>
      <c r="E223" s="17" t="inlineStr"/>
      <c r="F223" s="30" t="inlineStr">
        <is>
          <t>الهدف 1</t>
        </is>
      </c>
      <c r="G223" s="4" t="n"/>
    </row>
    <row r="224" ht="30" customHeight="1">
      <c r="B224" s="15" t="n">
        <v>7</v>
      </c>
      <c r="C224" s="17" t="inlineStr">
        <is>
          <t>هل تم متابعة تسليم المخرجات؟</t>
        </is>
      </c>
      <c r="D224" s="15" t="n"/>
      <c r="E224" s="17" t="inlineStr"/>
      <c r="F224" s="30" t="inlineStr">
        <is>
          <t>الهدف 1</t>
        </is>
      </c>
      <c r="G224" s="4" t="n"/>
    </row>
    <row r="225" ht="30" customHeight="1">
      <c r="B225" s="15" t="n">
        <v>8</v>
      </c>
      <c r="C225" s="17" t="inlineStr">
        <is>
          <t>هل تم تحديث الخطة المالية الرئيسية؟</t>
        </is>
      </c>
      <c r="D225" s="15" t="n"/>
      <c r="E225" s="17" t="inlineStr"/>
      <c r="F225" s="30" t="inlineStr">
        <is>
          <t>الهدف 2</t>
        </is>
      </c>
      <c r="G225" s="4" t="n"/>
    </row>
    <row r="226" ht="30" customHeight="1">
      <c r="B226" s="15" t="n">
        <v>9</v>
      </c>
      <c r="C226" s="17" t="inlineStr">
        <is>
          <t>هل تم تصدير شهادات الإنجاز للمالية؟</t>
        </is>
      </c>
      <c r="D226" s="15" t="n"/>
      <c r="E226" s="17" t="inlineStr"/>
      <c r="F226" s="30" t="inlineStr">
        <is>
          <t>الهدف 2</t>
        </is>
      </c>
      <c r="G226" s="4" t="n"/>
    </row>
    <row r="227" ht="30" customHeight="1">
      <c r="B227" s="15" t="n">
        <v>10</v>
      </c>
      <c r="C227" s="17" t="inlineStr">
        <is>
          <t>هل تم متابعة وتحديث المشاريع التشغيلية؟</t>
        </is>
      </c>
      <c r="D227" s="15" t="n"/>
      <c r="E227" s="17" t="inlineStr"/>
      <c r="F227" s="30" t="inlineStr">
        <is>
          <t>الهدف 1</t>
        </is>
      </c>
      <c r="G227" s="4" t="n"/>
    </row>
    <row r="228" ht="30" customHeight="1">
      <c r="B228" s="15" t="n">
        <v>11</v>
      </c>
      <c r="C228" s="17" t="inlineStr">
        <is>
          <t>هل تم رفع جميع الوثائق في نظام ميسر؟</t>
        </is>
      </c>
      <c r="D228" s="15" t="n"/>
      <c r="E228" s="17" t="inlineStr"/>
      <c r="F228" s="30" t="inlineStr">
        <is>
          <t>الهدف 1</t>
        </is>
      </c>
      <c r="G228" s="4" t="n"/>
    </row>
    <row r="229" ht="30" customHeight="1">
      <c r="B229" s="15" t="n">
        <v>12</v>
      </c>
      <c r="C229" s="17" t="inlineStr">
        <is>
          <t>هل يوجد مبادرات وإنجازات تم العمل عليها خلال هذا الأسبوع؟</t>
        </is>
      </c>
      <c r="D229" s="15" t="n"/>
      <c r="E229" s="17" t="inlineStr"/>
      <c r="F229" s="30" t="inlineStr">
        <is>
          <t>الهدف 5</t>
        </is>
      </c>
      <c r="G229" s="4" t="n"/>
    </row>
    <row r="230" ht="30" customHeight="1">
      <c r="B230" s="15" t="n">
        <v>13</v>
      </c>
      <c r="C230" s="17" t="inlineStr">
        <is>
          <t>هل تم الالتزام بمصفوفة الصلاحيات التشغيلية والحوكمة واتباعها؟</t>
        </is>
      </c>
      <c r="D230" s="15" t="n"/>
      <c r="E230" s="17" t="inlineStr"/>
      <c r="F230" s="30" t="inlineStr">
        <is>
          <t>الهدف 1</t>
        </is>
      </c>
      <c r="G230" s="4" t="n"/>
    </row>
    <row r="232">
      <c r="B232" s="28" t="inlineStr">
        <is>
          <t>المشروع: إعادة تأسيس وتحديث إدارة المراجعة الداخلية في مركز التأمين الصحي</t>
        </is>
      </c>
      <c r="C232" s="4" t="n"/>
      <c r="D232" s="4" t="n"/>
      <c r="E232" s="4" t="n"/>
      <c r="F232" s="29" t="inlineStr">
        <is>
          <t>المحفظة: المراجعة الداخلية</t>
        </is>
      </c>
      <c r="G232" s="4" t="n"/>
    </row>
    <row r="233">
      <c r="B233" s="9" t="inlineStr">
        <is>
          <t>#</t>
        </is>
      </c>
      <c r="C233" s="9" t="inlineStr">
        <is>
          <t>المهمة</t>
        </is>
      </c>
      <c r="D233" s="9" t="inlineStr">
        <is>
          <t>الحالة</t>
        </is>
      </c>
      <c r="E233" s="9" t="inlineStr">
        <is>
          <t>الملاحظات</t>
        </is>
      </c>
      <c r="F233" s="9" t="inlineStr">
        <is>
          <t>ارتباط بالهدف</t>
        </is>
      </c>
      <c r="G233" s="9" t="inlineStr">
        <is>
          <t>حالة المشروع</t>
        </is>
      </c>
    </row>
    <row r="234" ht="30" customHeight="1">
      <c r="B234" s="15" t="n">
        <v>1</v>
      </c>
      <c r="C234" s="17" t="inlineStr">
        <is>
          <t>هل تم تحديث الأنظمة والمنصات المتعلقة بالمشاريع؟</t>
        </is>
      </c>
      <c r="D234" s="15" t="n"/>
      <c r="E234" s="17" t="inlineStr"/>
      <c r="F234" s="30" t="inlineStr">
        <is>
          <t>الهدف 1</t>
        </is>
      </c>
      <c r="G234" s="16">
        <f>IF(COUNTIF(D234:D246,"نعم")=COUNTA(D234:D246),"مكتمل ومغلق",IF(COUNTA(D234:D246)=0,"لم يبدأ","جاري العمل عليه"))</f>
        <v/>
      </c>
    </row>
    <row r="235" ht="30" customHeight="1">
      <c r="B235" s="15" t="n">
        <v>2</v>
      </c>
      <c r="C235" s="17" t="inlineStr">
        <is>
          <t>هل تم تحديث الخطة التفصيلية للمشروع؟</t>
        </is>
      </c>
      <c r="D235" s="15" t="n"/>
      <c r="E235" s="17" t="inlineStr"/>
      <c r="F235" s="30" t="inlineStr">
        <is>
          <t>الهدف 1</t>
        </is>
      </c>
      <c r="G235" s="4" t="n"/>
    </row>
    <row r="236" ht="30" customHeight="1">
      <c r="B236" s="15" t="n">
        <v>3</v>
      </c>
      <c r="C236" s="17" t="inlineStr">
        <is>
          <t>هل تم حل التحديات والمخاطر؟</t>
        </is>
      </c>
      <c r="D236" s="15" t="n"/>
      <c r="E236" s="17" t="inlineStr"/>
      <c r="F236" s="30" t="inlineStr">
        <is>
          <t>الهدف 3</t>
        </is>
      </c>
      <c r="G236" s="4" t="n"/>
    </row>
    <row r="237" ht="30" customHeight="1">
      <c r="B237" s="15" t="n">
        <v>4</v>
      </c>
      <c r="C237" s="17" t="inlineStr">
        <is>
          <t>هل تم متابعة وإغلاق أوامر التغيير؟</t>
        </is>
      </c>
      <c r="D237" s="15" t="n"/>
      <c r="E237" s="17" t="inlineStr"/>
      <c r="F237" s="30" t="inlineStr">
        <is>
          <t>الهدف 3</t>
        </is>
      </c>
      <c r="G237" s="4" t="n"/>
    </row>
    <row r="238" ht="30" customHeight="1">
      <c r="B238" s="15" t="n">
        <v>5</v>
      </c>
      <c r="C238" s="17" t="inlineStr">
        <is>
          <t>هل تم إرسال تقرير أسبوعي لمالك المحفظة؟</t>
        </is>
      </c>
      <c r="D238" s="15" t="n"/>
      <c r="E238" s="17" t="inlineStr"/>
      <c r="F238" s="30" t="inlineStr">
        <is>
          <t>الهدف 4</t>
        </is>
      </c>
      <c r="G238" s="4" t="n"/>
    </row>
    <row r="239" ht="30" customHeight="1">
      <c r="B239" s="15" t="n">
        <v>6</v>
      </c>
      <c r="C239" s="17" t="inlineStr">
        <is>
          <t>هل تم التنبيه بثلاث أسابيع بحلول قرب تسليم المخرجات؟</t>
        </is>
      </c>
      <c r="D239" s="15" t="n"/>
      <c r="E239" s="17" t="inlineStr"/>
      <c r="F239" s="30" t="inlineStr">
        <is>
          <t>الهدف 1</t>
        </is>
      </c>
      <c r="G239" s="4" t="n"/>
    </row>
    <row r="240" ht="30" customHeight="1">
      <c r="B240" s="15" t="n">
        <v>7</v>
      </c>
      <c r="C240" s="17" t="inlineStr">
        <is>
          <t>هل تم متابعة تسليم المخرجات؟</t>
        </is>
      </c>
      <c r="D240" s="15" t="n"/>
      <c r="E240" s="17" t="inlineStr"/>
      <c r="F240" s="30" t="inlineStr">
        <is>
          <t>الهدف 1</t>
        </is>
      </c>
      <c r="G240" s="4" t="n"/>
    </row>
    <row r="241" ht="30" customHeight="1">
      <c r="B241" s="15" t="n">
        <v>8</v>
      </c>
      <c r="C241" s="17" t="inlineStr">
        <is>
          <t>هل تم تحديث الخطة المالية الرئيسية؟</t>
        </is>
      </c>
      <c r="D241" s="15" t="n"/>
      <c r="E241" s="17" t="inlineStr"/>
      <c r="F241" s="30" t="inlineStr">
        <is>
          <t>الهدف 2</t>
        </is>
      </c>
      <c r="G241" s="4" t="n"/>
    </row>
    <row r="242" ht="30" customHeight="1">
      <c r="B242" s="15" t="n">
        <v>9</v>
      </c>
      <c r="C242" s="17" t="inlineStr">
        <is>
          <t>هل تم تصدير شهادات الإنجاز للمالية؟</t>
        </is>
      </c>
      <c r="D242" s="15" t="n"/>
      <c r="E242" s="17" t="inlineStr"/>
      <c r="F242" s="30" t="inlineStr">
        <is>
          <t>الهدف 2</t>
        </is>
      </c>
      <c r="G242" s="4" t="n"/>
    </row>
    <row r="243" ht="30" customHeight="1">
      <c r="B243" s="15" t="n">
        <v>10</v>
      </c>
      <c r="C243" s="17" t="inlineStr">
        <is>
          <t>هل تم متابعة وتحديث المشاريع التشغيلية؟</t>
        </is>
      </c>
      <c r="D243" s="15" t="n"/>
      <c r="E243" s="17" t="inlineStr"/>
      <c r="F243" s="30" t="inlineStr">
        <is>
          <t>الهدف 1</t>
        </is>
      </c>
      <c r="G243" s="4" t="n"/>
    </row>
    <row r="244" ht="30" customHeight="1">
      <c r="B244" s="15" t="n">
        <v>11</v>
      </c>
      <c r="C244" s="17" t="inlineStr">
        <is>
          <t>هل تم رفع جميع الوثائق في نظام ميسر؟</t>
        </is>
      </c>
      <c r="D244" s="15" t="n"/>
      <c r="E244" s="17" t="inlineStr"/>
      <c r="F244" s="30" t="inlineStr">
        <is>
          <t>الهدف 1</t>
        </is>
      </c>
      <c r="G244" s="4" t="n"/>
    </row>
    <row r="245" ht="30" customHeight="1">
      <c r="B245" s="15" t="n">
        <v>12</v>
      </c>
      <c r="C245" s="17" t="inlineStr">
        <is>
          <t>هل يوجد مبادرات وإنجازات تم العمل عليها خلال هذا الأسبوع؟</t>
        </is>
      </c>
      <c r="D245" s="15" t="n"/>
      <c r="E245" s="17" t="inlineStr"/>
      <c r="F245" s="30" t="inlineStr">
        <is>
          <t>الهدف 5</t>
        </is>
      </c>
      <c r="G245" s="4" t="n"/>
    </row>
    <row r="246" ht="30" customHeight="1">
      <c r="B246" s="15" t="n">
        <v>13</v>
      </c>
      <c r="C246" s="17" t="inlineStr">
        <is>
          <t>هل تم الالتزام بمصفوفة الصلاحيات التشغيلية والحوكمة واتباعها؟</t>
        </is>
      </c>
      <c r="D246" s="15" t="n"/>
      <c r="E246" s="17" t="inlineStr"/>
      <c r="F246" s="30" t="inlineStr">
        <is>
          <t>الهدف 1</t>
        </is>
      </c>
      <c r="G246" s="4" t="n"/>
    </row>
    <row r="248">
      <c r="B248" s="28" t="inlineStr">
        <is>
          <t>المشروع: دعم منهجية مركز تقييم التقنيات الصحية</t>
        </is>
      </c>
      <c r="C248" s="4" t="n"/>
      <c r="D248" s="4" t="n"/>
      <c r="E248" s="4" t="n"/>
      <c r="F248" s="29" t="inlineStr">
        <is>
          <t>المحفظة: تقييم التقنيات الصحية</t>
        </is>
      </c>
      <c r="G248" s="4" t="n"/>
    </row>
    <row r="249">
      <c r="B249" s="9" t="inlineStr">
        <is>
          <t>#</t>
        </is>
      </c>
      <c r="C249" s="9" t="inlineStr">
        <is>
          <t>المهمة</t>
        </is>
      </c>
      <c r="D249" s="9" t="inlineStr">
        <is>
          <t>الحالة</t>
        </is>
      </c>
      <c r="E249" s="9" t="inlineStr">
        <is>
          <t>الملاحظات</t>
        </is>
      </c>
      <c r="F249" s="9" t="inlineStr">
        <is>
          <t>ارتباط بالهدف</t>
        </is>
      </c>
      <c r="G249" s="9" t="inlineStr">
        <is>
          <t>حالة المشروع</t>
        </is>
      </c>
    </row>
    <row r="250" ht="30" customHeight="1">
      <c r="B250" s="15" t="n">
        <v>1</v>
      </c>
      <c r="C250" s="17" t="inlineStr">
        <is>
          <t>هل تم تحديث الأنظمة والمنصات المتعلقة بالمشاريع؟</t>
        </is>
      </c>
      <c r="D250" s="15" t="n"/>
      <c r="E250" s="17" t="inlineStr"/>
      <c r="F250" s="30" t="inlineStr">
        <is>
          <t>الهدف 1</t>
        </is>
      </c>
      <c r="G250" s="16">
        <f>IF(COUNTIF(D250:D262,"نعم")=COUNTA(D250:D262),"مكتمل ومغلق",IF(COUNTA(D250:D262)=0,"لم يبدأ","جاري العمل عليه"))</f>
        <v/>
      </c>
    </row>
    <row r="251" ht="30" customHeight="1">
      <c r="B251" s="15" t="n">
        <v>2</v>
      </c>
      <c r="C251" s="17" t="inlineStr">
        <is>
          <t>هل تم تحديث الخطة التفصيلية للمشروع؟</t>
        </is>
      </c>
      <c r="D251" s="15" t="n"/>
      <c r="E251" s="17" t="inlineStr"/>
      <c r="F251" s="30" t="inlineStr">
        <is>
          <t>الهدف 1</t>
        </is>
      </c>
      <c r="G251" s="4" t="n"/>
    </row>
    <row r="252" ht="30" customHeight="1">
      <c r="B252" s="15" t="n">
        <v>3</v>
      </c>
      <c r="C252" s="17" t="inlineStr">
        <is>
          <t>هل تم حل التحديات والمخاطر؟</t>
        </is>
      </c>
      <c r="D252" s="15" t="n"/>
      <c r="E252" s="17" t="inlineStr"/>
      <c r="F252" s="30" t="inlineStr">
        <is>
          <t>الهدف 3</t>
        </is>
      </c>
      <c r="G252" s="4" t="n"/>
    </row>
    <row r="253" ht="30" customHeight="1">
      <c r="B253" s="15" t="n">
        <v>4</v>
      </c>
      <c r="C253" s="17" t="inlineStr">
        <is>
          <t>هل تم متابعة وإغلاق أوامر التغيير؟</t>
        </is>
      </c>
      <c r="D253" s="15" t="n"/>
      <c r="E253" s="17" t="inlineStr"/>
      <c r="F253" s="30" t="inlineStr">
        <is>
          <t>الهدف 3</t>
        </is>
      </c>
      <c r="G253" s="4" t="n"/>
    </row>
    <row r="254" ht="30" customHeight="1">
      <c r="B254" s="15" t="n">
        <v>5</v>
      </c>
      <c r="C254" s="17" t="inlineStr">
        <is>
          <t>هل تم إرسال تقرير أسبوعي لمالك المحفظة؟</t>
        </is>
      </c>
      <c r="D254" s="15" t="n"/>
      <c r="E254" s="17" t="inlineStr"/>
      <c r="F254" s="30" t="inlineStr">
        <is>
          <t>الهدف 4</t>
        </is>
      </c>
      <c r="G254" s="4" t="n"/>
    </row>
    <row r="255" ht="30" customHeight="1">
      <c r="B255" s="15" t="n">
        <v>6</v>
      </c>
      <c r="C255" s="17" t="inlineStr">
        <is>
          <t>هل تم التنبيه بثلاث أسابيع بحلول قرب تسليم المخرجات؟</t>
        </is>
      </c>
      <c r="D255" s="15" t="n"/>
      <c r="E255" s="17" t="inlineStr"/>
      <c r="F255" s="30" t="inlineStr">
        <is>
          <t>الهدف 1</t>
        </is>
      </c>
      <c r="G255" s="4" t="n"/>
    </row>
    <row r="256" ht="30" customHeight="1">
      <c r="B256" s="15" t="n">
        <v>7</v>
      </c>
      <c r="C256" s="17" t="inlineStr">
        <is>
          <t>هل تم متابعة تسليم المخرجات؟</t>
        </is>
      </c>
      <c r="D256" s="15" t="n"/>
      <c r="E256" s="17" t="inlineStr"/>
      <c r="F256" s="30" t="inlineStr">
        <is>
          <t>الهدف 1</t>
        </is>
      </c>
      <c r="G256" s="4" t="n"/>
    </row>
    <row r="257" ht="30" customHeight="1">
      <c r="B257" s="15" t="n">
        <v>8</v>
      </c>
      <c r="C257" s="17" t="inlineStr">
        <is>
          <t>هل تم تحديث الخطة المالية الرئيسية؟</t>
        </is>
      </c>
      <c r="D257" s="15" t="n"/>
      <c r="E257" s="17" t="inlineStr"/>
      <c r="F257" s="30" t="inlineStr">
        <is>
          <t>الهدف 2</t>
        </is>
      </c>
      <c r="G257" s="4" t="n"/>
    </row>
    <row r="258" ht="30" customHeight="1">
      <c r="B258" s="15" t="n">
        <v>9</v>
      </c>
      <c r="C258" s="17" t="inlineStr">
        <is>
          <t>هل تم تصدير شهادات الإنجاز للمالية؟</t>
        </is>
      </c>
      <c r="D258" s="15" t="n"/>
      <c r="E258" s="17" t="inlineStr"/>
      <c r="F258" s="30" t="inlineStr">
        <is>
          <t>الهدف 2</t>
        </is>
      </c>
      <c r="G258" s="4" t="n"/>
    </row>
    <row r="259" ht="30" customHeight="1">
      <c r="B259" s="15" t="n">
        <v>10</v>
      </c>
      <c r="C259" s="17" t="inlineStr">
        <is>
          <t>هل تم متابعة وتحديث المشاريع التشغيلية؟</t>
        </is>
      </c>
      <c r="D259" s="15" t="n"/>
      <c r="E259" s="17" t="inlineStr"/>
      <c r="F259" s="30" t="inlineStr">
        <is>
          <t>الهدف 1</t>
        </is>
      </c>
      <c r="G259" s="4" t="n"/>
    </row>
    <row r="260" ht="30" customHeight="1">
      <c r="B260" s="15" t="n">
        <v>11</v>
      </c>
      <c r="C260" s="17" t="inlineStr">
        <is>
          <t>هل تم رفع جميع الوثائق في نظام ميسر؟</t>
        </is>
      </c>
      <c r="D260" s="15" t="n"/>
      <c r="E260" s="17" t="inlineStr"/>
      <c r="F260" s="30" t="inlineStr">
        <is>
          <t>الهدف 1</t>
        </is>
      </c>
      <c r="G260" s="4" t="n"/>
    </row>
    <row r="261" ht="30" customHeight="1">
      <c r="B261" s="15" t="n">
        <v>12</v>
      </c>
      <c r="C261" s="17" t="inlineStr">
        <is>
          <t>هل يوجد مبادرات وإنجازات تم العمل عليها خلال هذا الأسبوع؟</t>
        </is>
      </c>
      <c r="D261" s="15" t="n"/>
      <c r="E261" s="17" t="inlineStr"/>
      <c r="F261" s="30" t="inlineStr">
        <is>
          <t>الهدف 5</t>
        </is>
      </c>
      <c r="G261" s="4" t="n"/>
    </row>
    <row r="262" ht="30" customHeight="1">
      <c r="B262" s="15" t="n">
        <v>13</v>
      </c>
      <c r="C262" s="17" t="inlineStr">
        <is>
          <t>هل تم الالتزام بمصفوفة الصلاحيات التشغيلية والحوكمة واتباعها؟</t>
        </is>
      </c>
      <c r="D262" s="15" t="n"/>
      <c r="E262" s="17" t="inlineStr"/>
      <c r="F262" s="30" t="inlineStr">
        <is>
          <t>الهدف 1</t>
        </is>
      </c>
      <c r="G262" s="4" t="n"/>
    </row>
    <row r="265">
      <c r="B265" s="23" t="inlineStr">
        <is>
          <t>الموظف: صالح الغفيلي</t>
        </is>
      </c>
      <c r="C265" s="4" t="n"/>
      <c r="D265" s="4" t="n"/>
      <c r="E265" s="4" t="n"/>
      <c r="F265" s="4" t="n"/>
      <c r="G265" s="4" t="n"/>
    </row>
    <row r="266">
      <c r="B266" s="28" t="inlineStr">
        <is>
          <t>المشروع: مشروع تفعيل دور مركز التميز الوطني للترميز الطبي وحساب التكاليف</t>
        </is>
      </c>
      <c r="C266" s="4" t="n"/>
      <c r="D266" s="4" t="n"/>
      <c r="E266" s="4" t="n"/>
      <c r="F266" s="29" t="inlineStr">
        <is>
          <t>المحفظة: الترميز الطبي وحساب التكاليف</t>
        </is>
      </c>
      <c r="G266" s="4" t="n"/>
    </row>
    <row r="267">
      <c r="B267" s="9" t="inlineStr">
        <is>
          <t>#</t>
        </is>
      </c>
      <c r="C267" s="9" t="inlineStr">
        <is>
          <t>المهمة</t>
        </is>
      </c>
      <c r="D267" s="9" t="inlineStr">
        <is>
          <t>الحالة</t>
        </is>
      </c>
      <c r="E267" s="9" t="inlineStr">
        <is>
          <t>الملاحظات</t>
        </is>
      </c>
      <c r="F267" s="9" t="inlineStr">
        <is>
          <t>ارتباط بالهدف</t>
        </is>
      </c>
      <c r="G267" s="9" t="inlineStr">
        <is>
          <t>حالة المشروع</t>
        </is>
      </c>
    </row>
    <row r="268" ht="30" customHeight="1">
      <c r="B268" s="15" t="n">
        <v>1</v>
      </c>
      <c r="C268" s="17" t="inlineStr">
        <is>
          <t>هل تم تحديث الأنظمة والمنصات المتعلقة بالمشاريع؟</t>
        </is>
      </c>
      <c r="D268" s="15" t="n"/>
      <c r="E268" s="17" t="inlineStr"/>
      <c r="F268" s="30" t="inlineStr">
        <is>
          <t>الهدف 1</t>
        </is>
      </c>
      <c r="G268" s="16">
        <f>IF(COUNTIF(D268:D280,"نعم")=COUNTA(D268:D280),"مكتمل ومغلق",IF(COUNTA(D268:D280)=0,"لم يبدأ","جاري العمل عليه"))</f>
        <v/>
      </c>
    </row>
    <row r="269" ht="30" customHeight="1">
      <c r="B269" s="15" t="n">
        <v>2</v>
      </c>
      <c r="C269" s="17" t="inlineStr">
        <is>
          <t>هل تم تحديث الخطة التفصيلية للمشروع؟</t>
        </is>
      </c>
      <c r="D269" s="15" t="n"/>
      <c r="E269" s="17" t="inlineStr"/>
      <c r="F269" s="30" t="inlineStr">
        <is>
          <t>الهدف 1</t>
        </is>
      </c>
      <c r="G269" s="4" t="n"/>
    </row>
    <row r="270" ht="30" customHeight="1">
      <c r="B270" s="15" t="n">
        <v>3</v>
      </c>
      <c r="C270" s="17" t="inlineStr">
        <is>
          <t>هل تم حل التحديات والمخاطر؟</t>
        </is>
      </c>
      <c r="D270" s="15" t="n"/>
      <c r="E270" s="17" t="inlineStr"/>
      <c r="F270" s="30" t="inlineStr">
        <is>
          <t>الهدف 3</t>
        </is>
      </c>
      <c r="G270" s="4" t="n"/>
    </row>
    <row r="271" ht="30" customHeight="1">
      <c r="B271" s="15" t="n">
        <v>4</v>
      </c>
      <c r="C271" s="17" t="inlineStr">
        <is>
          <t>هل تم متابعة وإغلاق أوامر التغيير؟</t>
        </is>
      </c>
      <c r="D271" s="15" t="n"/>
      <c r="E271" s="17" t="inlineStr"/>
      <c r="F271" s="30" t="inlineStr">
        <is>
          <t>الهدف 3</t>
        </is>
      </c>
      <c r="G271" s="4" t="n"/>
    </row>
    <row r="272" ht="30" customHeight="1">
      <c r="B272" s="15" t="n">
        <v>5</v>
      </c>
      <c r="C272" s="17" t="inlineStr">
        <is>
          <t>هل تم إرسال تقرير أسبوعي لمالك المحفظة؟</t>
        </is>
      </c>
      <c r="D272" s="15" t="n"/>
      <c r="E272" s="17" t="inlineStr"/>
      <c r="F272" s="30" t="inlineStr">
        <is>
          <t>الهدف 4</t>
        </is>
      </c>
      <c r="G272" s="4" t="n"/>
    </row>
    <row r="273" ht="30" customHeight="1">
      <c r="B273" s="15" t="n">
        <v>6</v>
      </c>
      <c r="C273" s="17" t="inlineStr">
        <is>
          <t>هل تم التنبيه بثلاث أسابيع بحلول قرب تسليم المخرجات؟</t>
        </is>
      </c>
      <c r="D273" s="15" t="n"/>
      <c r="E273" s="17" t="inlineStr"/>
      <c r="F273" s="30" t="inlineStr">
        <is>
          <t>الهدف 1</t>
        </is>
      </c>
      <c r="G273" s="4" t="n"/>
    </row>
    <row r="274" ht="30" customHeight="1">
      <c r="B274" s="15" t="n">
        <v>7</v>
      </c>
      <c r="C274" s="17" t="inlineStr">
        <is>
          <t>هل تم متابعة تسليم المخرجات؟</t>
        </is>
      </c>
      <c r="D274" s="15" t="n"/>
      <c r="E274" s="17" t="inlineStr"/>
      <c r="F274" s="30" t="inlineStr">
        <is>
          <t>الهدف 1</t>
        </is>
      </c>
      <c r="G274" s="4" t="n"/>
    </row>
    <row r="275" ht="30" customHeight="1">
      <c r="B275" s="15" t="n">
        <v>8</v>
      </c>
      <c r="C275" s="17" t="inlineStr">
        <is>
          <t>هل تم تحديث الخطة المالية الرئيسية؟</t>
        </is>
      </c>
      <c r="D275" s="15" t="n"/>
      <c r="E275" s="17" t="inlineStr"/>
      <c r="F275" s="30" t="inlineStr">
        <is>
          <t>الهدف 2</t>
        </is>
      </c>
      <c r="G275" s="4" t="n"/>
    </row>
    <row r="276" ht="30" customHeight="1">
      <c r="B276" s="15" t="n">
        <v>9</v>
      </c>
      <c r="C276" s="17" t="inlineStr">
        <is>
          <t>هل تم تصدير شهادات الإنجاز للمالية؟</t>
        </is>
      </c>
      <c r="D276" s="15" t="n"/>
      <c r="E276" s="17" t="inlineStr"/>
      <c r="F276" s="30" t="inlineStr">
        <is>
          <t>الهدف 2</t>
        </is>
      </c>
      <c r="G276" s="4" t="n"/>
    </row>
    <row r="277" ht="30" customHeight="1">
      <c r="B277" s="15" t="n">
        <v>10</v>
      </c>
      <c r="C277" s="17" t="inlineStr">
        <is>
          <t>هل تم متابعة وتحديث المشاريع التشغيلية؟</t>
        </is>
      </c>
      <c r="D277" s="15" t="n"/>
      <c r="E277" s="17" t="inlineStr"/>
      <c r="F277" s="30" t="inlineStr">
        <is>
          <t>الهدف 1</t>
        </is>
      </c>
      <c r="G277" s="4" t="n"/>
    </row>
    <row r="278" ht="30" customHeight="1">
      <c r="B278" s="15" t="n">
        <v>11</v>
      </c>
      <c r="C278" s="17" t="inlineStr">
        <is>
          <t>هل تم رفع جميع الوثائق في نظام ميسر؟</t>
        </is>
      </c>
      <c r="D278" s="15" t="n"/>
      <c r="E278" s="17" t="inlineStr"/>
      <c r="F278" s="30" t="inlineStr">
        <is>
          <t>الهدف 1</t>
        </is>
      </c>
      <c r="G278" s="4" t="n"/>
    </row>
    <row r="279" ht="30" customHeight="1">
      <c r="B279" s="15" t="n">
        <v>12</v>
      </c>
      <c r="C279" s="17" t="inlineStr">
        <is>
          <t>هل يوجد مبادرات وإنجازات تم العمل عليها خلال هذا الأسبوع؟</t>
        </is>
      </c>
      <c r="D279" s="15" t="n"/>
      <c r="E279" s="17" t="inlineStr"/>
      <c r="F279" s="30" t="inlineStr">
        <is>
          <t>الهدف 5</t>
        </is>
      </c>
      <c r="G279" s="4" t="n"/>
    </row>
    <row r="280" ht="30" customHeight="1">
      <c r="B280" s="15" t="n">
        <v>13</v>
      </c>
      <c r="C280" s="17" t="inlineStr">
        <is>
          <t>هل تم الالتزام بمصفوفة الصلاحيات التشغيلية والحوكمة واتباعها؟</t>
        </is>
      </c>
      <c r="D280" s="15" t="n"/>
      <c r="E280" s="17" t="inlineStr"/>
      <c r="F280" s="30" t="inlineStr">
        <is>
          <t>الهدف 1</t>
        </is>
      </c>
      <c r="G280" s="4" t="n"/>
    </row>
    <row r="282">
      <c r="B282" s="28" t="inlineStr">
        <is>
          <t>المشروع: تفعيل وبناء نماذج الدفع وشراء الخدمات الصحية المرحلة الأولى</t>
        </is>
      </c>
      <c r="C282" s="4" t="n"/>
      <c r="D282" s="4" t="n"/>
      <c r="E282" s="4" t="n"/>
      <c r="F282" s="29" t="inlineStr">
        <is>
          <t>المحفظة: التقنية والذكاء الاصطناعي</t>
        </is>
      </c>
      <c r="G282" s="4" t="n"/>
    </row>
    <row r="283">
      <c r="B283" s="9" t="inlineStr">
        <is>
          <t>#</t>
        </is>
      </c>
      <c r="C283" s="9" t="inlineStr">
        <is>
          <t>المهمة</t>
        </is>
      </c>
      <c r="D283" s="9" t="inlineStr">
        <is>
          <t>الحالة</t>
        </is>
      </c>
      <c r="E283" s="9" t="inlineStr">
        <is>
          <t>الملاحظات</t>
        </is>
      </c>
      <c r="F283" s="9" t="inlineStr">
        <is>
          <t>ارتباط بالهدف</t>
        </is>
      </c>
      <c r="G283" s="9" t="inlineStr">
        <is>
          <t>حالة المشروع</t>
        </is>
      </c>
    </row>
    <row r="284" ht="30" customHeight="1">
      <c r="B284" s="15" t="n">
        <v>1</v>
      </c>
      <c r="C284" s="17" t="inlineStr">
        <is>
          <t>هل تم تحديث الأنظمة والمنصات المتعلقة بالمشاريع؟</t>
        </is>
      </c>
      <c r="D284" s="15" t="n"/>
      <c r="E284" s="17" t="inlineStr"/>
      <c r="F284" s="30" t="inlineStr">
        <is>
          <t>الهدف 1</t>
        </is>
      </c>
      <c r="G284" s="16">
        <f>IF(COUNTIF(D284:D296,"نعم")=COUNTA(D284:D296),"مكتمل ومغلق",IF(COUNTA(D284:D296)=0,"لم يبدأ","جاري العمل عليه"))</f>
        <v/>
      </c>
    </row>
    <row r="285" ht="30" customHeight="1">
      <c r="B285" s="15" t="n">
        <v>2</v>
      </c>
      <c r="C285" s="17" t="inlineStr">
        <is>
          <t>هل تم تحديث الخطة التفصيلية للمشروع؟</t>
        </is>
      </c>
      <c r="D285" s="15" t="n"/>
      <c r="E285" s="17" t="inlineStr"/>
      <c r="F285" s="30" t="inlineStr">
        <is>
          <t>الهدف 1</t>
        </is>
      </c>
      <c r="G285" s="4" t="n"/>
    </row>
    <row r="286" ht="30" customHeight="1">
      <c r="B286" s="15" t="n">
        <v>3</v>
      </c>
      <c r="C286" s="17" t="inlineStr">
        <is>
          <t>هل تم حل التحديات والمخاطر؟</t>
        </is>
      </c>
      <c r="D286" s="15" t="n"/>
      <c r="E286" s="17" t="inlineStr"/>
      <c r="F286" s="30" t="inlineStr">
        <is>
          <t>الهدف 3</t>
        </is>
      </c>
      <c r="G286" s="4" t="n"/>
    </row>
    <row r="287" ht="30" customHeight="1">
      <c r="B287" s="15" t="n">
        <v>4</v>
      </c>
      <c r="C287" s="17" t="inlineStr">
        <is>
          <t>هل تم متابعة وإغلاق أوامر التغيير؟</t>
        </is>
      </c>
      <c r="D287" s="15" t="n"/>
      <c r="E287" s="17" t="inlineStr"/>
      <c r="F287" s="30" t="inlineStr">
        <is>
          <t>الهدف 3</t>
        </is>
      </c>
      <c r="G287" s="4" t="n"/>
    </row>
    <row r="288" ht="30" customHeight="1">
      <c r="B288" s="15" t="n">
        <v>5</v>
      </c>
      <c r="C288" s="17" t="inlineStr">
        <is>
          <t>هل تم إرسال تقرير أسبوعي لمالك المحفظة؟</t>
        </is>
      </c>
      <c r="D288" s="15" t="n"/>
      <c r="E288" s="17" t="inlineStr"/>
      <c r="F288" s="30" t="inlineStr">
        <is>
          <t>الهدف 4</t>
        </is>
      </c>
      <c r="G288" s="4" t="n"/>
    </row>
    <row r="289" ht="30" customHeight="1">
      <c r="B289" s="15" t="n">
        <v>6</v>
      </c>
      <c r="C289" s="17" t="inlineStr">
        <is>
          <t>هل تم التنبيه بثلاث أسابيع بحلول قرب تسليم المخرجات؟</t>
        </is>
      </c>
      <c r="D289" s="15" t="n"/>
      <c r="E289" s="17" t="inlineStr"/>
      <c r="F289" s="30" t="inlineStr">
        <is>
          <t>الهدف 1</t>
        </is>
      </c>
      <c r="G289" s="4" t="n"/>
    </row>
    <row r="290" ht="30" customHeight="1">
      <c r="B290" s="15" t="n">
        <v>7</v>
      </c>
      <c r="C290" s="17" t="inlineStr">
        <is>
          <t>هل تم متابعة تسليم المخرجات؟</t>
        </is>
      </c>
      <c r="D290" s="15" t="n"/>
      <c r="E290" s="17" t="inlineStr"/>
      <c r="F290" s="30" t="inlineStr">
        <is>
          <t>الهدف 1</t>
        </is>
      </c>
      <c r="G290" s="4" t="n"/>
    </row>
    <row r="291" ht="30" customHeight="1">
      <c r="B291" s="15" t="n">
        <v>8</v>
      </c>
      <c r="C291" s="17" t="inlineStr">
        <is>
          <t>هل تم تحديث الخطة المالية الرئيسية؟</t>
        </is>
      </c>
      <c r="D291" s="15" t="n"/>
      <c r="E291" s="17" t="inlineStr"/>
      <c r="F291" s="30" t="inlineStr">
        <is>
          <t>الهدف 2</t>
        </is>
      </c>
      <c r="G291" s="4" t="n"/>
    </row>
    <row r="292" ht="30" customHeight="1">
      <c r="B292" s="15" t="n">
        <v>9</v>
      </c>
      <c r="C292" s="17" t="inlineStr">
        <is>
          <t>هل تم تصدير شهادات الإنجاز للمالية؟</t>
        </is>
      </c>
      <c r="D292" s="15" t="n"/>
      <c r="E292" s="17" t="inlineStr"/>
      <c r="F292" s="30" t="inlineStr">
        <is>
          <t>الهدف 2</t>
        </is>
      </c>
      <c r="G292" s="4" t="n"/>
    </row>
    <row r="293" ht="30" customHeight="1">
      <c r="B293" s="15" t="n">
        <v>10</v>
      </c>
      <c r="C293" s="17" t="inlineStr">
        <is>
          <t>هل تم متابعة وتحديث المشاريع التشغيلية؟</t>
        </is>
      </c>
      <c r="D293" s="15" t="n"/>
      <c r="E293" s="17" t="inlineStr"/>
      <c r="F293" s="30" t="inlineStr">
        <is>
          <t>الهدف 1</t>
        </is>
      </c>
      <c r="G293" s="4" t="n"/>
    </row>
    <row r="294" ht="30" customHeight="1">
      <c r="B294" s="15" t="n">
        <v>11</v>
      </c>
      <c r="C294" s="17" t="inlineStr">
        <is>
          <t>هل تم رفع جميع الوثائق في نظام ميسر؟</t>
        </is>
      </c>
      <c r="D294" s="15" t="n"/>
      <c r="E294" s="17" t="inlineStr"/>
      <c r="F294" s="30" t="inlineStr">
        <is>
          <t>الهدف 1</t>
        </is>
      </c>
      <c r="G294" s="4" t="n"/>
    </row>
    <row r="295" ht="30" customHeight="1">
      <c r="B295" s="15" t="n">
        <v>12</v>
      </c>
      <c r="C295" s="17" t="inlineStr">
        <is>
          <t>هل يوجد مبادرات وإنجازات تم العمل عليها خلال هذا الأسبوع؟</t>
        </is>
      </c>
      <c r="D295" s="15" t="n"/>
      <c r="E295" s="17" t="inlineStr"/>
      <c r="F295" s="30" t="inlineStr">
        <is>
          <t>الهدف 5</t>
        </is>
      </c>
      <c r="G295" s="4" t="n"/>
    </row>
    <row r="296" ht="30" customHeight="1">
      <c r="B296" s="15" t="n">
        <v>13</v>
      </c>
      <c r="C296" s="17" t="inlineStr">
        <is>
          <t>هل تم الالتزام بمصفوفة الصلاحيات التشغيلية والحوكمة واتباعها؟</t>
        </is>
      </c>
      <c r="D296" s="15" t="n"/>
      <c r="E296" s="17" t="inlineStr"/>
      <c r="F296" s="30" t="inlineStr">
        <is>
          <t>الهدف 1</t>
        </is>
      </c>
      <c r="G296" s="4" t="n"/>
    </row>
    <row r="298">
      <c r="B298" s="28" t="inlineStr">
        <is>
          <t>المشروع: تطوير الموقع الخارجي وتقديم الدعم الفني</t>
        </is>
      </c>
      <c r="C298" s="4" t="n"/>
      <c r="D298" s="4" t="n"/>
      <c r="E298" s="4" t="n"/>
      <c r="F298" s="29" t="inlineStr">
        <is>
          <t>المحفظة: التقنية والذكاء الاصطناعي</t>
        </is>
      </c>
      <c r="G298" s="4" t="n"/>
    </row>
    <row r="299">
      <c r="B299" s="9" t="inlineStr">
        <is>
          <t>#</t>
        </is>
      </c>
      <c r="C299" s="9" t="inlineStr">
        <is>
          <t>المهمة</t>
        </is>
      </c>
      <c r="D299" s="9" t="inlineStr">
        <is>
          <t>الحالة</t>
        </is>
      </c>
      <c r="E299" s="9" t="inlineStr">
        <is>
          <t>الملاحظات</t>
        </is>
      </c>
      <c r="F299" s="9" t="inlineStr">
        <is>
          <t>ارتباط بالهدف</t>
        </is>
      </c>
      <c r="G299" s="9" t="inlineStr">
        <is>
          <t>حالة المشروع</t>
        </is>
      </c>
    </row>
    <row r="300" ht="30" customHeight="1">
      <c r="B300" s="15" t="n">
        <v>1</v>
      </c>
      <c r="C300" s="17" t="inlineStr">
        <is>
          <t>هل تم تحديث الأنظمة والمنصات المتعلقة بالمشاريع؟</t>
        </is>
      </c>
      <c r="D300" s="15" t="n"/>
      <c r="E300" s="17" t="inlineStr"/>
      <c r="F300" s="30" t="inlineStr">
        <is>
          <t>الهدف 1</t>
        </is>
      </c>
      <c r="G300" s="16">
        <f>IF(COUNTIF(D300:D312,"نعم")=COUNTA(D300:D312),"مكتمل ومغلق",IF(COUNTA(D300:D312)=0,"لم يبدأ","جاري العمل عليه"))</f>
        <v/>
      </c>
    </row>
    <row r="301" ht="30" customHeight="1">
      <c r="B301" s="15" t="n">
        <v>2</v>
      </c>
      <c r="C301" s="17" t="inlineStr">
        <is>
          <t>هل تم تحديث الخطة التفصيلية للمشروع؟</t>
        </is>
      </c>
      <c r="D301" s="15" t="n"/>
      <c r="E301" s="17" t="inlineStr"/>
      <c r="F301" s="30" t="inlineStr">
        <is>
          <t>الهدف 1</t>
        </is>
      </c>
      <c r="G301" s="4" t="n"/>
    </row>
    <row r="302" ht="30" customHeight="1">
      <c r="B302" s="15" t="n">
        <v>3</v>
      </c>
      <c r="C302" s="17" t="inlineStr">
        <is>
          <t>هل تم حل التحديات والمخاطر؟</t>
        </is>
      </c>
      <c r="D302" s="15" t="n"/>
      <c r="E302" s="17" t="inlineStr"/>
      <c r="F302" s="30" t="inlineStr">
        <is>
          <t>الهدف 3</t>
        </is>
      </c>
      <c r="G302" s="4" t="n"/>
    </row>
    <row r="303" ht="30" customHeight="1">
      <c r="B303" s="15" t="n">
        <v>4</v>
      </c>
      <c r="C303" s="17" t="inlineStr">
        <is>
          <t>هل تم متابعة وإغلاق أوامر التغيير؟</t>
        </is>
      </c>
      <c r="D303" s="15" t="n"/>
      <c r="E303" s="17" t="inlineStr"/>
      <c r="F303" s="30" t="inlineStr">
        <is>
          <t>الهدف 3</t>
        </is>
      </c>
      <c r="G303" s="4" t="n"/>
    </row>
    <row r="304" ht="30" customHeight="1">
      <c r="B304" s="15" t="n">
        <v>5</v>
      </c>
      <c r="C304" s="17" t="inlineStr">
        <is>
          <t>هل تم إرسال تقرير أسبوعي لمالك المحفظة؟</t>
        </is>
      </c>
      <c r="D304" s="15" t="n"/>
      <c r="E304" s="17" t="inlineStr"/>
      <c r="F304" s="30" t="inlineStr">
        <is>
          <t>الهدف 4</t>
        </is>
      </c>
      <c r="G304" s="4" t="n"/>
    </row>
    <row r="305" ht="30" customHeight="1">
      <c r="B305" s="15" t="n">
        <v>6</v>
      </c>
      <c r="C305" s="17" t="inlineStr">
        <is>
          <t>هل تم التنبيه بثلاث أسابيع بحلول قرب تسليم المخرجات؟</t>
        </is>
      </c>
      <c r="D305" s="15" t="n"/>
      <c r="E305" s="17" t="inlineStr"/>
      <c r="F305" s="30" t="inlineStr">
        <is>
          <t>الهدف 1</t>
        </is>
      </c>
      <c r="G305" s="4" t="n"/>
    </row>
    <row r="306" ht="30" customHeight="1">
      <c r="B306" s="15" t="n">
        <v>7</v>
      </c>
      <c r="C306" s="17" t="inlineStr">
        <is>
          <t>هل تم متابعة تسليم المخرجات؟</t>
        </is>
      </c>
      <c r="D306" s="15" t="n"/>
      <c r="E306" s="17" t="inlineStr"/>
      <c r="F306" s="30" t="inlineStr">
        <is>
          <t>الهدف 1</t>
        </is>
      </c>
      <c r="G306" s="4" t="n"/>
    </row>
    <row r="307" ht="30" customHeight="1">
      <c r="B307" s="15" t="n">
        <v>8</v>
      </c>
      <c r="C307" s="17" t="inlineStr">
        <is>
          <t>هل تم تحديث الخطة المالية الرئيسية؟</t>
        </is>
      </c>
      <c r="D307" s="15" t="n"/>
      <c r="E307" s="17" t="inlineStr"/>
      <c r="F307" s="30" t="inlineStr">
        <is>
          <t>الهدف 2</t>
        </is>
      </c>
      <c r="G307" s="4" t="n"/>
    </row>
    <row r="308" ht="30" customHeight="1">
      <c r="B308" s="15" t="n">
        <v>9</v>
      </c>
      <c r="C308" s="17" t="inlineStr">
        <is>
          <t>هل تم تصدير شهادات الإنجاز للمالية؟</t>
        </is>
      </c>
      <c r="D308" s="15" t="n"/>
      <c r="E308" s="17" t="inlineStr"/>
      <c r="F308" s="30" t="inlineStr">
        <is>
          <t>الهدف 2</t>
        </is>
      </c>
      <c r="G308" s="4" t="n"/>
    </row>
    <row r="309" ht="30" customHeight="1">
      <c r="B309" s="15" t="n">
        <v>10</v>
      </c>
      <c r="C309" s="17" t="inlineStr">
        <is>
          <t>هل تم متابعة وتحديث المشاريع التشغيلية؟</t>
        </is>
      </c>
      <c r="D309" s="15" t="n"/>
      <c r="E309" s="17" t="inlineStr"/>
      <c r="F309" s="30" t="inlineStr">
        <is>
          <t>الهدف 1</t>
        </is>
      </c>
      <c r="G309" s="4" t="n"/>
    </row>
    <row r="310" ht="30" customHeight="1">
      <c r="B310" s="15" t="n">
        <v>11</v>
      </c>
      <c r="C310" s="17" t="inlineStr">
        <is>
          <t>هل تم رفع جميع الوثائق في نظام ميسر؟</t>
        </is>
      </c>
      <c r="D310" s="15" t="n"/>
      <c r="E310" s="17" t="inlineStr"/>
      <c r="F310" s="30" t="inlineStr">
        <is>
          <t>الهدف 1</t>
        </is>
      </c>
      <c r="G310" s="4" t="n"/>
    </row>
    <row r="311" ht="30" customHeight="1">
      <c r="B311" s="15" t="n">
        <v>12</v>
      </c>
      <c r="C311" s="17" t="inlineStr">
        <is>
          <t>هل يوجد مبادرات وإنجازات تم العمل عليها خلال هذا الأسبوع؟</t>
        </is>
      </c>
      <c r="D311" s="15" t="n"/>
      <c r="E311" s="17" t="inlineStr"/>
      <c r="F311" s="30" t="inlineStr">
        <is>
          <t>الهدف 5</t>
        </is>
      </c>
      <c r="G311" s="4" t="n"/>
    </row>
    <row r="312" ht="30" customHeight="1">
      <c r="B312" s="15" t="n">
        <v>13</v>
      </c>
      <c r="C312" s="17" t="inlineStr">
        <is>
          <t>هل تم الالتزام بمصفوفة الصلاحيات التشغيلية والحوكمة واتباعها؟</t>
        </is>
      </c>
      <c r="D312" s="15" t="n"/>
      <c r="E312" s="17" t="inlineStr"/>
      <c r="F312" s="30" t="inlineStr">
        <is>
          <t>الهدف 1</t>
        </is>
      </c>
      <c r="G312" s="4" t="n"/>
    </row>
    <row r="314">
      <c r="B314" s="28" t="inlineStr">
        <is>
          <t>المشروع: منصة تكامل البيانات ومنصة عمل البيانات</t>
        </is>
      </c>
      <c r="C314" s="4" t="n"/>
      <c r="D314" s="4" t="n"/>
      <c r="E314" s="4" t="n"/>
      <c r="F314" s="29" t="inlineStr">
        <is>
          <t>المحفظة: التقنية والذكاء الاصطناعي</t>
        </is>
      </c>
      <c r="G314" s="4" t="n"/>
    </row>
    <row r="315">
      <c r="B315" s="9" t="inlineStr">
        <is>
          <t>#</t>
        </is>
      </c>
      <c r="C315" s="9" t="inlineStr">
        <is>
          <t>المهمة</t>
        </is>
      </c>
      <c r="D315" s="9" t="inlineStr">
        <is>
          <t>الحالة</t>
        </is>
      </c>
      <c r="E315" s="9" t="inlineStr">
        <is>
          <t>الملاحظات</t>
        </is>
      </c>
      <c r="F315" s="9" t="inlineStr">
        <is>
          <t>ارتباط بالهدف</t>
        </is>
      </c>
      <c r="G315" s="9" t="inlineStr">
        <is>
          <t>حالة المشروع</t>
        </is>
      </c>
    </row>
    <row r="316" ht="30" customHeight="1">
      <c r="B316" s="15" t="n">
        <v>1</v>
      </c>
      <c r="C316" s="17" t="inlineStr">
        <is>
          <t>هل تم تحديث الأنظمة والمنصات المتعلقة بالمشاريع؟</t>
        </is>
      </c>
      <c r="D316" s="15" t="n"/>
      <c r="E316" s="17" t="inlineStr"/>
      <c r="F316" s="30" t="inlineStr">
        <is>
          <t>الهدف 1</t>
        </is>
      </c>
      <c r="G316" s="16">
        <f>IF(COUNTIF(D316:D328,"نعم")=COUNTA(D316:D328),"مكتمل ومغلق",IF(COUNTA(D316:D328)=0,"لم يبدأ","جاري العمل عليه"))</f>
        <v/>
      </c>
    </row>
    <row r="317" ht="30" customHeight="1">
      <c r="B317" s="15" t="n">
        <v>2</v>
      </c>
      <c r="C317" s="17" t="inlineStr">
        <is>
          <t>هل تم تحديث الخطة التفصيلية للمشروع؟</t>
        </is>
      </c>
      <c r="D317" s="15" t="n"/>
      <c r="E317" s="17" t="inlineStr"/>
      <c r="F317" s="30" t="inlineStr">
        <is>
          <t>الهدف 1</t>
        </is>
      </c>
      <c r="G317" s="4" t="n"/>
    </row>
    <row r="318" ht="30" customHeight="1">
      <c r="B318" s="15" t="n">
        <v>3</v>
      </c>
      <c r="C318" s="17" t="inlineStr">
        <is>
          <t>هل تم حل التحديات والمخاطر؟</t>
        </is>
      </c>
      <c r="D318" s="15" t="n"/>
      <c r="E318" s="17" t="inlineStr"/>
      <c r="F318" s="30" t="inlineStr">
        <is>
          <t>الهدف 3</t>
        </is>
      </c>
      <c r="G318" s="4" t="n"/>
    </row>
    <row r="319" ht="30" customHeight="1">
      <c r="B319" s="15" t="n">
        <v>4</v>
      </c>
      <c r="C319" s="17" t="inlineStr">
        <is>
          <t>هل تم متابعة وإغلاق أوامر التغيير؟</t>
        </is>
      </c>
      <c r="D319" s="15" t="n"/>
      <c r="E319" s="17" t="inlineStr"/>
      <c r="F319" s="30" t="inlineStr">
        <is>
          <t>الهدف 3</t>
        </is>
      </c>
      <c r="G319" s="4" t="n"/>
    </row>
    <row r="320" ht="30" customHeight="1">
      <c r="B320" s="15" t="n">
        <v>5</v>
      </c>
      <c r="C320" s="17" t="inlineStr">
        <is>
          <t>هل تم إرسال تقرير أسبوعي لمالك المحفظة؟</t>
        </is>
      </c>
      <c r="D320" s="15" t="n"/>
      <c r="E320" s="17" t="inlineStr"/>
      <c r="F320" s="30" t="inlineStr">
        <is>
          <t>الهدف 4</t>
        </is>
      </c>
      <c r="G320" s="4" t="n"/>
    </row>
    <row r="321" ht="30" customHeight="1">
      <c r="B321" s="15" t="n">
        <v>6</v>
      </c>
      <c r="C321" s="17" t="inlineStr">
        <is>
          <t>هل تم التنبيه بثلاث أسابيع بحلول قرب تسليم المخرجات؟</t>
        </is>
      </c>
      <c r="D321" s="15" t="n"/>
      <c r="E321" s="17" t="inlineStr"/>
      <c r="F321" s="30" t="inlineStr">
        <is>
          <t>الهدف 1</t>
        </is>
      </c>
      <c r="G321" s="4" t="n"/>
    </row>
    <row r="322" ht="30" customHeight="1">
      <c r="B322" s="15" t="n">
        <v>7</v>
      </c>
      <c r="C322" s="17" t="inlineStr">
        <is>
          <t>هل تم متابعة تسليم المخرجات؟</t>
        </is>
      </c>
      <c r="D322" s="15" t="n"/>
      <c r="E322" s="17" t="inlineStr"/>
      <c r="F322" s="30" t="inlineStr">
        <is>
          <t>الهدف 1</t>
        </is>
      </c>
      <c r="G322" s="4" t="n"/>
    </row>
    <row r="323" ht="30" customHeight="1">
      <c r="B323" s="15" t="n">
        <v>8</v>
      </c>
      <c r="C323" s="17" t="inlineStr">
        <is>
          <t>هل تم تحديث الخطة المالية الرئيسية؟</t>
        </is>
      </c>
      <c r="D323" s="15" t="n"/>
      <c r="E323" s="17" t="inlineStr"/>
      <c r="F323" s="30" t="inlineStr">
        <is>
          <t>الهدف 2</t>
        </is>
      </c>
      <c r="G323" s="4" t="n"/>
    </row>
    <row r="324" ht="30" customHeight="1">
      <c r="B324" s="15" t="n">
        <v>9</v>
      </c>
      <c r="C324" s="17" t="inlineStr">
        <is>
          <t>هل تم تصدير شهادات الإنجاز للمالية؟</t>
        </is>
      </c>
      <c r="D324" s="15" t="n"/>
      <c r="E324" s="17" t="inlineStr"/>
      <c r="F324" s="30" t="inlineStr">
        <is>
          <t>الهدف 2</t>
        </is>
      </c>
      <c r="G324" s="4" t="n"/>
    </row>
    <row r="325" ht="30" customHeight="1">
      <c r="B325" s="15" t="n">
        <v>10</v>
      </c>
      <c r="C325" s="17" t="inlineStr">
        <is>
          <t>هل تم متابعة وتحديث المشاريع التشغيلية؟</t>
        </is>
      </c>
      <c r="D325" s="15" t="n"/>
      <c r="E325" s="17" t="inlineStr"/>
      <c r="F325" s="30" t="inlineStr">
        <is>
          <t>الهدف 1</t>
        </is>
      </c>
      <c r="G325" s="4" t="n"/>
    </row>
    <row r="326" ht="30" customHeight="1">
      <c r="B326" s="15" t="n">
        <v>11</v>
      </c>
      <c r="C326" s="17" t="inlineStr">
        <is>
          <t>هل تم رفع جميع الوثائق في نظام ميسر؟</t>
        </is>
      </c>
      <c r="D326" s="15" t="n"/>
      <c r="E326" s="17" t="inlineStr"/>
      <c r="F326" s="30" t="inlineStr">
        <is>
          <t>الهدف 1</t>
        </is>
      </c>
      <c r="G326" s="4" t="n"/>
    </row>
    <row r="327" ht="30" customHeight="1">
      <c r="B327" s="15" t="n">
        <v>12</v>
      </c>
      <c r="C327" s="17" t="inlineStr">
        <is>
          <t>هل يوجد مبادرات وإنجازات تم العمل عليها خلال هذا الأسبوع؟</t>
        </is>
      </c>
      <c r="D327" s="15" t="n"/>
      <c r="E327" s="17" t="inlineStr"/>
      <c r="F327" s="30" t="inlineStr">
        <is>
          <t>الهدف 5</t>
        </is>
      </c>
      <c r="G327" s="4" t="n"/>
    </row>
    <row r="328" ht="30" customHeight="1">
      <c r="B328" s="15" t="n">
        <v>13</v>
      </c>
      <c r="C328" s="17" t="inlineStr">
        <is>
          <t>هل تم الالتزام بمصفوفة الصلاحيات التشغيلية والحوكمة واتباعها؟</t>
        </is>
      </c>
      <c r="D328" s="15" t="n"/>
      <c r="E328" s="17" t="inlineStr"/>
      <c r="F328" s="30" t="inlineStr">
        <is>
          <t>الهدف 1</t>
        </is>
      </c>
      <c r="G328" s="4" t="n"/>
    </row>
    <row r="330">
      <c r="B330" s="28" t="inlineStr">
        <is>
          <t>المشروع: منصة التنبيهات الموحدة</t>
        </is>
      </c>
      <c r="C330" s="4" t="n"/>
      <c r="D330" s="4" t="n"/>
      <c r="E330" s="4" t="n"/>
      <c r="F330" s="29" t="inlineStr">
        <is>
          <t>المحفظة: التقنية والذكاء الاصطناعي</t>
        </is>
      </c>
      <c r="G330" s="4" t="n"/>
    </row>
    <row r="331">
      <c r="B331" s="9" t="inlineStr">
        <is>
          <t>#</t>
        </is>
      </c>
      <c r="C331" s="9" t="inlineStr">
        <is>
          <t>المهمة</t>
        </is>
      </c>
      <c r="D331" s="9" t="inlineStr">
        <is>
          <t>الحالة</t>
        </is>
      </c>
      <c r="E331" s="9" t="inlineStr">
        <is>
          <t>الملاحظات</t>
        </is>
      </c>
      <c r="F331" s="9" t="inlineStr">
        <is>
          <t>ارتباط بالهدف</t>
        </is>
      </c>
      <c r="G331" s="9" t="inlineStr">
        <is>
          <t>حالة المشروع</t>
        </is>
      </c>
    </row>
    <row r="332" ht="30" customHeight="1">
      <c r="B332" s="15" t="n">
        <v>1</v>
      </c>
      <c r="C332" s="17" t="inlineStr">
        <is>
          <t>هل تم تحديث الأنظمة والمنصات المتعلقة بالمشاريع؟</t>
        </is>
      </c>
      <c r="D332" s="15" t="n"/>
      <c r="E332" s="17" t="inlineStr"/>
      <c r="F332" s="30" t="inlineStr">
        <is>
          <t>الهدف 1</t>
        </is>
      </c>
      <c r="G332" s="16">
        <f>IF(COUNTIF(D332:D344,"نعم")=COUNTA(D332:D344),"مكتمل ومغلق",IF(COUNTA(D332:D344)=0,"لم يبدأ","جاري العمل عليه"))</f>
        <v/>
      </c>
    </row>
    <row r="333" ht="30" customHeight="1">
      <c r="B333" s="15" t="n">
        <v>2</v>
      </c>
      <c r="C333" s="17" t="inlineStr">
        <is>
          <t>هل تم تحديث الخطة التفصيلية للمشروع؟</t>
        </is>
      </c>
      <c r="D333" s="15" t="n"/>
      <c r="E333" s="17" t="inlineStr"/>
      <c r="F333" s="30" t="inlineStr">
        <is>
          <t>الهدف 1</t>
        </is>
      </c>
      <c r="G333" s="4" t="n"/>
    </row>
    <row r="334" ht="30" customHeight="1">
      <c r="B334" s="15" t="n">
        <v>3</v>
      </c>
      <c r="C334" s="17" t="inlineStr">
        <is>
          <t>هل تم حل التحديات والمخاطر؟</t>
        </is>
      </c>
      <c r="D334" s="15" t="n"/>
      <c r="E334" s="17" t="inlineStr"/>
      <c r="F334" s="30" t="inlineStr">
        <is>
          <t>الهدف 3</t>
        </is>
      </c>
      <c r="G334" s="4" t="n"/>
    </row>
    <row r="335" ht="30" customHeight="1">
      <c r="B335" s="15" t="n">
        <v>4</v>
      </c>
      <c r="C335" s="17" t="inlineStr">
        <is>
          <t>هل تم متابعة وإغلاق أوامر التغيير؟</t>
        </is>
      </c>
      <c r="D335" s="15" t="n"/>
      <c r="E335" s="17" t="inlineStr"/>
      <c r="F335" s="30" t="inlineStr">
        <is>
          <t>الهدف 3</t>
        </is>
      </c>
      <c r="G335" s="4" t="n"/>
    </row>
    <row r="336" ht="30" customHeight="1">
      <c r="B336" s="15" t="n">
        <v>5</v>
      </c>
      <c r="C336" s="17" t="inlineStr">
        <is>
          <t>هل تم إرسال تقرير أسبوعي لمالك المحفظة؟</t>
        </is>
      </c>
      <c r="D336" s="15" t="n"/>
      <c r="E336" s="17" t="inlineStr"/>
      <c r="F336" s="30" t="inlineStr">
        <is>
          <t>الهدف 4</t>
        </is>
      </c>
      <c r="G336" s="4" t="n"/>
    </row>
    <row r="337" ht="30" customHeight="1">
      <c r="B337" s="15" t="n">
        <v>6</v>
      </c>
      <c r="C337" s="17" t="inlineStr">
        <is>
          <t>هل تم التنبيه بثلاث أسابيع بحلول قرب تسليم المخرجات؟</t>
        </is>
      </c>
      <c r="D337" s="15" t="n"/>
      <c r="E337" s="17" t="inlineStr"/>
      <c r="F337" s="30" t="inlineStr">
        <is>
          <t>الهدف 1</t>
        </is>
      </c>
      <c r="G337" s="4" t="n"/>
    </row>
    <row r="338" ht="30" customHeight="1">
      <c r="B338" s="15" t="n">
        <v>7</v>
      </c>
      <c r="C338" s="17" t="inlineStr">
        <is>
          <t>هل تم متابعة تسليم المخرجات؟</t>
        </is>
      </c>
      <c r="D338" s="15" t="n"/>
      <c r="E338" s="17" t="inlineStr"/>
      <c r="F338" s="30" t="inlineStr">
        <is>
          <t>الهدف 1</t>
        </is>
      </c>
      <c r="G338" s="4" t="n"/>
    </row>
    <row r="339" ht="30" customHeight="1">
      <c r="B339" s="15" t="n">
        <v>8</v>
      </c>
      <c r="C339" s="17" t="inlineStr">
        <is>
          <t>هل تم تحديث الخطة المالية الرئيسية؟</t>
        </is>
      </c>
      <c r="D339" s="15" t="n"/>
      <c r="E339" s="17" t="inlineStr"/>
      <c r="F339" s="30" t="inlineStr">
        <is>
          <t>الهدف 2</t>
        </is>
      </c>
      <c r="G339" s="4" t="n"/>
    </row>
    <row r="340" ht="30" customHeight="1">
      <c r="B340" s="15" t="n">
        <v>9</v>
      </c>
      <c r="C340" s="17" t="inlineStr">
        <is>
          <t>هل تم تصدير شهادات الإنجاز للمالية؟</t>
        </is>
      </c>
      <c r="D340" s="15" t="n"/>
      <c r="E340" s="17" t="inlineStr"/>
      <c r="F340" s="30" t="inlineStr">
        <is>
          <t>الهدف 2</t>
        </is>
      </c>
      <c r="G340" s="4" t="n"/>
    </row>
    <row r="341" ht="30" customHeight="1">
      <c r="B341" s="15" t="n">
        <v>10</v>
      </c>
      <c r="C341" s="17" t="inlineStr">
        <is>
          <t>هل تم متابعة وتحديث المشاريع التشغيلية؟</t>
        </is>
      </c>
      <c r="D341" s="15" t="n"/>
      <c r="E341" s="17" t="inlineStr"/>
      <c r="F341" s="30" t="inlineStr">
        <is>
          <t>الهدف 1</t>
        </is>
      </c>
      <c r="G341" s="4" t="n"/>
    </row>
    <row r="342" ht="30" customHeight="1">
      <c r="B342" s="15" t="n">
        <v>11</v>
      </c>
      <c r="C342" s="17" t="inlineStr">
        <is>
          <t>هل تم رفع جميع الوثائق في نظام ميسر؟</t>
        </is>
      </c>
      <c r="D342" s="15" t="n"/>
      <c r="E342" s="17" t="inlineStr"/>
      <c r="F342" s="30" t="inlineStr">
        <is>
          <t>الهدف 1</t>
        </is>
      </c>
      <c r="G342" s="4" t="n"/>
    </row>
    <row r="343" ht="30" customHeight="1">
      <c r="B343" s="15" t="n">
        <v>12</v>
      </c>
      <c r="C343" s="17" t="inlineStr">
        <is>
          <t>هل يوجد مبادرات وإنجازات تم العمل عليها خلال هذا الأسبوع؟</t>
        </is>
      </c>
      <c r="D343" s="15" t="n"/>
      <c r="E343" s="17" t="inlineStr"/>
      <c r="F343" s="30" t="inlineStr">
        <is>
          <t>الهدف 5</t>
        </is>
      </c>
      <c r="G343" s="4" t="n"/>
    </row>
    <row r="344" ht="30" customHeight="1">
      <c r="B344" s="15" t="n">
        <v>13</v>
      </c>
      <c r="C344" s="17" t="inlineStr">
        <is>
          <t>هل تم الالتزام بمصفوفة الصلاحيات التشغيلية والحوكمة واتباعها؟</t>
        </is>
      </c>
      <c r="D344" s="15" t="n"/>
      <c r="E344" s="17" t="inlineStr"/>
      <c r="F344" s="30" t="inlineStr">
        <is>
          <t>الهدف 1</t>
        </is>
      </c>
      <c r="G344" s="4" t="n"/>
    </row>
    <row r="346">
      <c r="B346" s="28" t="inlineStr">
        <is>
          <t>المشروع: أنظمة خدمات تقنية المعلومات</t>
        </is>
      </c>
      <c r="C346" s="4" t="n"/>
      <c r="D346" s="4" t="n"/>
      <c r="E346" s="4" t="n"/>
      <c r="F346" s="29" t="inlineStr">
        <is>
          <t>المحفظة: التقنية والذكاء الاصطناعي</t>
        </is>
      </c>
      <c r="G346" s="4" t="n"/>
    </row>
    <row r="347">
      <c r="B347" s="9" t="inlineStr">
        <is>
          <t>#</t>
        </is>
      </c>
      <c r="C347" s="9" t="inlineStr">
        <is>
          <t>المهمة</t>
        </is>
      </c>
      <c r="D347" s="9" t="inlineStr">
        <is>
          <t>الحالة</t>
        </is>
      </c>
      <c r="E347" s="9" t="inlineStr">
        <is>
          <t>الملاحظات</t>
        </is>
      </c>
      <c r="F347" s="9" t="inlineStr">
        <is>
          <t>ارتباط بالهدف</t>
        </is>
      </c>
      <c r="G347" s="9" t="inlineStr">
        <is>
          <t>حالة المشروع</t>
        </is>
      </c>
    </row>
    <row r="348" ht="30" customHeight="1">
      <c r="B348" s="15" t="n">
        <v>1</v>
      </c>
      <c r="C348" s="17" t="inlineStr">
        <is>
          <t>هل تم تحديث الأنظمة والمنصات المتعلقة بالمشاريع؟</t>
        </is>
      </c>
      <c r="D348" s="15" t="n"/>
      <c r="E348" s="17" t="inlineStr"/>
      <c r="F348" s="30" t="inlineStr">
        <is>
          <t>الهدف 1</t>
        </is>
      </c>
      <c r="G348" s="16">
        <f>IF(COUNTIF(D348:D360,"نعم")=COUNTA(D348:D360),"مكتمل ومغلق",IF(COUNTA(D348:D360)=0,"لم يبدأ","جاري العمل عليه"))</f>
        <v/>
      </c>
    </row>
    <row r="349" ht="30" customHeight="1">
      <c r="B349" s="15" t="n">
        <v>2</v>
      </c>
      <c r="C349" s="17" t="inlineStr">
        <is>
          <t>هل تم تحديث الخطة التفصيلية للمشروع؟</t>
        </is>
      </c>
      <c r="D349" s="15" t="n"/>
      <c r="E349" s="17" t="inlineStr"/>
      <c r="F349" s="30" t="inlineStr">
        <is>
          <t>الهدف 1</t>
        </is>
      </c>
      <c r="G349" s="4" t="n"/>
    </row>
    <row r="350" ht="30" customHeight="1">
      <c r="B350" s="15" t="n">
        <v>3</v>
      </c>
      <c r="C350" s="17" t="inlineStr">
        <is>
          <t>هل تم حل التحديات والمخاطر؟</t>
        </is>
      </c>
      <c r="D350" s="15" t="n"/>
      <c r="E350" s="17" t="inlineStr"/>
      <c r="F350" s="30" t="inlineStr">
        <is>
          <t>الهدف 3</t>
        </is>
      </c>
      <c r="G350" s="4" t="n"/>
    </row>
    <row r="351" ht="30" customHeight="1">
      <c r="B351" s="15" t="n">
        <v>4</v>
      </c>
      <c r="C351" s="17" t="inlineStr">
        <is>
          <t>هل تم متابعة وإغلاق أوامر التغيير؟</t>
        </is>
      </c>
      <c r="D351" s="15" t="n"/>
      <c r="E351" s="17" t="inlineStr"/>
      <c r="F351" s="30" t="inlineStr">
        <is>
          <t>الهدف 3</t>
        </is>
      </c>
      <c r="G351" s="4" t="n"/>
    </row>
    <row r="352" ht="30" customHeight="1">
      <c r="B352" s="15" t="n">
        <v>5</v>
      </c>
      <c r="C352" s="17" t="inlineStr">
        <is>
          <t>هل تم إرسال تقرير أسبوعي لمالك المحفظة؟</t>
        </is>
      </c>
      <c r="D352" s="15" t="n"/>
      <c r="E352" s="17" t="inlineStr"/>
      <c r="F352" s="30" t="inlineStr">
        <is>
          <t>الهدف 4</t>
        </is>
      </c>
      <c r="G352" s="4" t="n"/>
    </row>
    <row r="353" ht="30" customHeight="1">
      <c r="B353" s="15" t="n">
        <v>6</v>
      </c>
      <c r="C353" s="17" t="inlineStr">
        <is>
          <t>هل تم التنبيه بثلاث أسابيع بحلول قرب تسليم المخرجات؟</t>
        </is>
      </c>
      <c r="D353" s="15" t="n"/>
      <c r="E353" s="17" t="inlineStr"/>
      <c r="F353" s="30" t="inlineStr">
        <is>
          <t>الهدف 1</t>
        </is>
      </c>
      <c r="G353" s="4" t="n"/>
    </row>
    <row r="354" ht="30" customHeight="1">
      <c r="B354" s="15" t="n">
        <v>7</v>
      </c>
      <c r="C354" s="17" t="inlineStr">
        <is>
          <t>هل تم متابعة تسليم المخرجات؟</t>
        </is>
      </c>
      <c r="D354" s="15" t="n"/>
      <c r="E354" s="17" t="inlineStr"/>
      <c r="F354" s="30" t="inlineStr">
        <is>
          <t>الهدف 1</t>
        </is>
      </c>
      <c r="G354" s="4" t="n"/>
    </row>
    <row r="355" ht="30" customHeight="1">
      <c r="B355" s="15" t="n">
        <v>8</v>
      </c>
      <c r="C355" s="17" t="inlineStr">
        <is>
          <t>هل تم تحديث الخطة المالية الرئيسية؟</t>
        </is>
      </c>
      <c r="D355" s="15" t="n"/>
      <c r="E355" s="17" t="inlineStr"/>
      <c r="F355" s="30" t="inlineStr">
        <is>
          <t>الهدف 2</t>
        </is>
      </c>
      <c r="G355" s="4" t="n"/>
    </row>
    <row r="356" ht="30" customHeight="1">
      <c r="B356" s="15" t="n">
        <v>9</v>
      </c>
      <c r="C356" s="17" t="inlineStr">
        <is>
          <t>هل تم تصدير شهادات الإنجاز للمالية؟</t>
        </is>
      </c>
      <c r="D356" s="15" t="n"/>
      <c r="E356" s="17" t="inlineStr"/>
      <c r="F356" s="30" t="inlineStr">
        <is>
          <t>الهدف 2</t>
        </is>
      </c>
      <c r="G356" s="4" t="n"/>
    </row>
    <row r="357" ht="30" customHeight="1">
      <c r="B357" s="15" t="n">
        <v>10</v>
      </c>
      <c r="C357" s="17" t="inlineStr">
        <is>
          <t>هل تم متابعة وتحديث المشاريع التشغيلية؟</t>
        </is>
      </c>
      <c r="D357" s="15" t="n"/>
      <c r="E357" s="17" t="inlineStr"/>
      <c r="F357" s="30" t="inlineStr">
        <is>
          <t>الهدف 1</t>
        </is>
      </c>
      <c r="G357" s="4" t="n"/>
    </row>
    <row r="358" ht="30" customHeight="1">
      <c r="B358" s="15" t="n">
        <v>11</v>
      </c>
      <c r="C358" s="17" t="inlineStr">
        <is>
          <t>هل تم رفع جميع الوثائق في نظام ميسر؟</t>
        </is>
      </c>
      <c r="D358" s="15" t="n"/>
      <c r="E358" s="17" t="inlineStr"/>
      <c r="F358" s="30" t="inlineStr">
        <is>
          <t>الهدف 1</t>
        </is>
      </c>
      <c r="G358" s="4" t="n"/>
    </row>
    <row r="359" ht="30" customHeight="1">
      <c r="B359" s="15" t="n">
        <v>12</v>
      </c>
      <c r="C359" s="17" t="inlineStr">
        <is>
          <t>هل يوجد مبادرات وإنجازات تم العمل عليها خلال هذا الأسبوع؟</t>
        </is>
      </c>
      <c r="D359" s="15" t="n"/>
      <c r="E359" s="17" t="inlineStr"/>
      <c r="F359" s="30" t="inlineStr">
        <is>
          <t>الهدف 5</t>
        </is>
      </c>
      <c r="G359" s="4" t="n"/>
    </row>
    <row r="360" ht="30" customHeight="1">
      <c r="B360" s="15" t="n">
        <v>13</v>
      </c>
      <c r="C360" s="17" t="inlineStr">
        <is>
          <t>هل تم الالتزام بمصفوفة الصلاحيات التشغيلية والحوكمة واتباعها؟</t>
        </is>
      </c>
      <c r="D360" s="15" t="n"/>
      <c r="E360" s="17" t="inlineStr"/>
      <c r="F360" s="30" t="inlineStr">
        <is>
          <t>الهدف 1</t>
        </is>
      </c>
      <c r="G360" s="4" t="n"/>
    </row>
    <row r="362">
      <c r="B362" s="28" t="inlineStr">
        <is>
          <t>المشروع: المرحلة الثانية من نظام التوظيف الإلكتروني</t>
        </is>
      </c>
      <c r="C362" s="4" t="n"/>
      <c r="D362" s="4" t="n"/>
      <c r="E362" s="4" t="n"/>
      <c r="F362" s="29" t="inlineStr">
        <is>
          <t>المحفظة: التقنية والذكاء الاصطناعي</t>
        </is>
      </c>
      <c r="G362" s="4" t="n"/>
    </row>
    <row r="363">
      <c r="B363" s="9" t="inlineStr">
        <is>
          <t>#</t>
        </is>
      </c>
      <c r="C363" s="9" t="inlineStr">
        <is>
          <t>المهمة</t>
        </is>
      </c>
      <c r="D363" s="9" t="inlineStr">
        <is>
          <t>الحالة</t>
        </is>
      </c>
      <c r="E363" s="9" t="inlineStr">
        <is>
          <t>الملاحظات</t>
        </is>
      </c>
      <c r="F363" s="9" t="inlineStr">
        <is>
          <t>ارتباط بالهدف</t>
        </is>
      </c>
      <c r="G363" s="9" t="inlineStr">
        <is>
          <t>حالة المشروع</t>
        </is>
      </c>
    </row>
    <row r="364" ht="30" customHeight="1">
      <c r="B364" s="15" t="n">
        <v>1</v>
      </c>
      <c r="C364" s="17" t="inlineStr">
        <is>
          <t>هل تم تحديث الأنظمة والمنصات المتعلقة بالمشاريع؟</t>
        </is>
      </c>
      <c r="D364" s="15" t="n"/>
      <c r="E364" s="17" t="inlineStr"/>
      <c r="F364" s="30" t="inlineStr">
        <is>
          <t>الهدف 1</t>
        </is>
      </c>
      <c r="G364" s="16">
        <f>IF(COUNTIF(D364:D376,"نعم")=COUNTA(D364:D376),"مكتمل ومغلق",IF(COUNTA(D364:D376)=0,"لم يبدأ","جاري العمل عليه"))</f>
        <v/>
      </c>
    </row>
    <row r="365" ht="30" customHeight="1">
      <c r="B365" s="15" t="n">
        <v>2</v>
      </c>
      <c r="C365" s="17" t="inlineStr">
        <is>
          <t>هل تم تحديث الخطة التفصيلية للمشروع؟</t>
        </is>
      </c>
      <c r="D365" s="15" t="n"/>
      <c r="E365" s="17" t="inlineStr"/>
      <c r="F365" s="30" t="inlineStr">
        <is>
          <t>الهدف 1</t>
        </is>
      </c>
      <c r="G365" s="4" t="n"/>
    </row>
    <row r="366" ht="30" customHeight="1">
      <c r="B366" s="15" t="n">
        <v>3</v>
      </c>
      <c r="C366" s="17" t="inlineStr">
        <is>
          <t>هل تم حل التحديات والمخاطر؟</t>
        </is>
      </c>
      <c r="D366" s="15" t="n"/>
      <c r="E366" s="17" t="inlineStr"/>
      <c r="F366" s="30" t="inlineStr">
        <is>
          <t>الهدف 3</t>
        </is>
      </c>
      <c r="G366" s="4" t="n"/>
    </row>
    <row r="367" ht="30" customHeight="1">
      <c r="B367" s="15" t="n">
        <v>4</v>
      </c>
      <c r="C367" s="17" t="inlineStr">
        <is>
          <t>هل تم متابعة وإغلاق أوامر التغيير؟</t>
        </is>
      </c>
      <c r="D367" s="15" t="n"/>
      <c r="E367" s="17" t="inlineStr"/>
      <c r="F367" s="30" t="inlineStr">
        <is>
          <t>الهدف 3</t>
        </is>
      </c>
      <c r="G367" s="4" t="n"/>
    </row>
    <row r="368" ht="30" customHeight="1">
      <c r="B368" s="15" t="n">
        <v>5</v>
      </c>
      <c r="C368" s="17" t="inlineStr">
        <is>
          <t>هل تم إرسال تقرير أسبوعي لمالك المحفظة؟</t>
        </is>
      </c>
      <c r="D368" s="15" t="n"/>
      <c r="E368" s="17" t="inlineStr"/>
      <c r="F368" s="30" t="inlineStr">
        <is>
          <t>الهدف 4</t>
        </is>
      </c>
      <c r="G368" s="4" t="n"/>
    </row>
    <row r="369" ht="30" customHeight="1">
      <c r="B369" s="15" t="n">
        <v>6</v>
      </c>
      <c r="C369" s="17" t="inlineStr">
        <is>
          <t>هل تم التنبيه بثلاث أسابيع بحلول قرب تسليم المخرجات؟</t>
        </is>
      </c>
      <c r="D369" s="15" t="n"/>
      <c r="E369" s="17" t="inlineStr"/>
      <c r="F369" s="30" t="inlineStr">
        <is>
          <t>الهدف 1</t>
        </is>
      </c>
      <c r="G369" s="4" t="n"/>
    </row>
    <row r="370" ht="30" customHeight="1">
      <c r="B370" s="15" t="n">
        <v>7</v>
      </c>
      <c r="C370" s="17" t="inlineStr">
        <is>
          <t>هل تم متابعة تسليم المخرجات؟</t>
        </is>
      </c>
      <c r="D370" s="15" t="n"/>
      <c r="E370" s="17" t="inlineStr"/>
      <c r="F370" s="30" t="inlineStr">
        <is>
          <t>الهدف 1</t>
        </is>
      </c>
      <c r="G370" s="4" t="n"/>
    </row>
    <row r="371" ht="30" customHeight="1">
      <c r="B371" s="15" t="n">
        <v>8</v>
      </c>
      <c r="C371" s="17" t="inlineStr">
        <is>
          <t>هل تم تحديث الخطة المالية الرئيسية؟</t>
        </is>
      </c>
      <c r="D371" s="15" t="n"/>
      <c r="E371" s="17" t="inlineStr"/>
      <c r="F371" s="30" t="inlineStr">
        <is>
          <t>الهدف 2</t>
        </is>
      </c>
      <c r="G371" s="4" t="n"/>
    </row>
    <row r="372" ht="30" customHeight="1">
      <c r="B372" s="15" t="n">
        <v>9</v>
      </c>
      <c r="C372" s="17" t="inlineStr">
        <is>
          <t>هل تم تصدير شهادات الإنجاز للمالية؟</t>
        </is>
      </c>
      <c r="D372" s="15" t="n"/>
      <c r="E372" s="17" t="inlineStr"/>
      <c r="F372" s="30" t="inlineStr">
        <is>
          <t>الهدف 2</t>
        </is>
      </c>
      <c r="G372" s="4" t="n"/>
    </row>
    <row r="373" ht="30" customHeight="1">
      <c r="B373" s="15" t="n">
        <v>10</v>
      </c>
      <c r="C373" s="17" t="inlineStr">
        <is>
          <t>هل تم متابعة وتحديث المشاريع التشغيلية؟</t>
        </is>
      </c>
      <c r="D373" s="15" t="n"/>
      <c r="E373" s="17" t="inlineStr"/>
      <c r="F373" s="30" t="inlineStr">
        <is>
          <t>الهدف 1</t>
        </is>
      </c>
      <c r="G373" s="4" t="n"/>
    </row>
    <row r="374" ht="30" customHeight="1">
      <c r="B374" s="15" t="n">
        <v>11</v>
      </c>
      <c r="C374" s="17" t="inlineStr">
        <is>
          <t>هل تم رفع جميع الوثائق في نظام ميسر؟</t>
        </is>
      </c>
      <c r="D374" s="15" t="n"/>
      <c r="E374" s="17" t="inlineStr"/>
      <c r="F374" s="30" t="inlineStr">
        <is>
          <t>الهدف 1</t>
        </is>
      </c>
      <c r="G374" s="4" t="n"/>
    </row>
    <row r="375" ht="30" customHeight="1">
      <c r="B375" s="15" t="n">
        <v>12</v>
      </c>
      <c r="C375" s="17" t="inlineStr">
        <is>
          <t>هل يوجد مبادرات وإنجازات تم العمل عليها خلال هذا الأسبوع؟</t>
        </is>
      </c>
      <c r="D375" s="15" t="n"/>
      <c r="E375" s="17" t="inlineStr"/>
      <c r="F375" s="30" t="inlineStr">
        <is>
          <t>الهدف 5</t>
        </is>
      </c>
      <c r="G375" s="4" t="n"/>
    </row>
    <row r="376" ht="30" customHeight="1">
      <c r="B376" s="15" t="n">
        <v>13</v>
      </c>
      <c r="C376" s="17" t="inlineStr">
        <is>
          <t>هل تم الالتزام بمصفوفة الصلاحيات التشغيلية والحوكمة واتباعها؟</t>
        </is>
      </c>
      <c r="D376" s="15" t="n"/>
      <c r="E376" s="17" t="inlineStr"/>
      <c r="F376" s="30" t="inlineStr">
        <is>
          <t>الهدف 1</t>
        </is>
      </c>
      <c r="G376" s="4" t="n"/>
    </row>
    <row r="378">
      <c r="B378" s="28" t="inlineStr">
        <is>
          <t>المشروع: استضافة البنية التحتية لمركز التأمين الصحي الوطني</t>
        </is>
      </c>
      <c r="C378" s="4" t="n"/>
      <c r="D378" s="4" t="n"/>
      <c r="E378" s="4" t="n"/>
      <c r="F378" s="29" t="inlineStr">
        <is>
          <t>المحفظة: التقنية والذكاء الاصطناعي</t>
        </is>
      </c>
      <c r="G378" s="4" t="n"/>
    </row>
    <row r="379">
      <c r="B379" s="9" t="inlineStr">
        <is>
          <t>#</t>
        </is>
      </c>
      <c r="C379" s="9" t="inlineStr">
        <is>
          <t>المهمة</t>
        </is>
      </c>
      <c r="D379" s="9" t="inlineStr">
        <is>
          <t>الحالة</t>
        </is>
      </c>
      <c r="E379" s="9" t="inlineStr">
        <is>
          <t>الملاحظات</t>
        </is>
      </c>
      <c r="F379" s="9" t="inlineStr">
        <is>
          <t>ارتباط بالهدف</t>
        </is>
      </c>
      <c r="G379" s="9" t="inlineStr">
        <is>
          <t>حالة المشروع</t>
        </is>
      </c>
    </row>
    <row r="380" ht="30" customHeight="1">
      <c r="B380" s="15" t="n">
        <v>1</v>
      </c>
      <c r="C380" s="17" t="inlineStr">
        <is>
          <t>هل تم تحديث الأنظمة والمنصات المتعلقة بالمشاريع؟</t>
        </is>
      </c>
      <c r="D380" s="15" t="n"/>
      <c r="E380" s="17" t="inlineStr"/>
      <c r="F380" s="30" t="inlineStr">
        <is>
          <t>الهدف 1</t>
        </is>
      </c>
      <c r="G380" s="16">
        <f>IF(COUNTIF(D380:D392,"نعم")=COUNTA(D380:D392),"مكتمل ومغلق",IF(COUNTA(D380:D392)=0,"لم يبدأ","جاري العمل عليه"))</f>
        <v/>
      </c>
    </row>
    <row r="381" ht="30" customHeight="1">
      <c r="B381" s="15" t="n">
        <v>2</v>
      </c>
      <c r="C381" s="17" t="inlineStr">
        <is>
          <t>هل تم تحديث الخطة التفصيلية للمشروع؟</t>
        </is>
      </c>
      <c r="D381" s="15" t="n"/>
      <c r="E381" s="17" t="inlineStr"/>
      <c r="F381" s="30" t="inlineStr">
        <is>
          <t>الهدف 1</t>
        </is>
      </c>
      <c r="G381" s="4" t="n"/>
    </row>
    <row r="382" ht="30" customHeight="1">
      <c r="B382" s="15" t="n">
        <v>3</v>
      </c>
      <c r="C382" s="17" t="inlineStr">
        <is>
          <t>هل تم حل التحديات والمخاطر؟</t>
        </is>
      </c>
      <c r="D382" s="15" t="n"/>
      <c r="E382" s="17" t="inlineStr"/>
      <c r="F382" s="30" t="inlineStr">
        <is>
          <t>الهدف 3</t>
        </is>
      </c>
      <c r="G382" s="4" t="n"/>
    </row>
    <row r="383" ht="30" customHeight="1">
      <c r="B383" s="15" t="n">
        <v>4</v>
      </c>
      <c r="C383" s="17" t="inlineStr">
        <is>
          <t>هل تم متابعة وإغلاق أوامر التغيير؟</t>
        </is>
      </c>
      <c r="D383" s="15" t="n"/>
      <c r="E383" s="17" t="inlineStr"/>
      <c r="F383" s="30" t="inlineStr">
        <is>
          <t>الهدف 3</t>
        </is>
      </c>
      <c r="G383" s="4" t="n"/>
    </row>
    <row r="384" ht="30" customHeight="1">
      <c r="B384" s="15" t="n">
        <v>5</v>
      </c>
      <c r="C384" s="17" t="inlineStr">
        <is>
          <t>هل تم إرسال تقرير أسبوعي لمالك المحفظة؟</t>
        </is>
      </c>
      <c r="D384" s="15" t="n"/>
      <c r="E384" s="17" t="inlineStr"/>
      <c r="F384" s="30" t="inlineStr">
        <is>
          <t>الهدف 4</t>
        </is>
      </c>
      <c r="G384" s="4" t="n"/>
    </row>
    <row r="385" ht="30" customHeight="1">
      <c r="B385" s="15" t="n">
        <v>6</v>
      </c>
      <c r="C385" s="17" t="inlineStr">
        <is>
          <t>هل تم التنبيه بثلاث أسابيع بحلول قرب تسليم المخرجات؟</t>
        </is>
      </c>
      <c r="D385" s="15" t="n"/>
      <c r="E385" s="17" t="inlineStr"/>
      <c r="F385" s="30" t="inlineStr">
        <is>
          <t>الهدف 1</t>
        </is>
      </c>
      <c r="G385" s="4" t="n"/>
    </row>
    <row r="386" ht="30" customHeight="1">
      <c r="B386" s="15" t="n">
        <v>7</v>
      </c>
      <c r="C386" s="17" t="inlineStr">
        <is>
          <t>هل تم متابعة تسليم المخرجات؟</t>
        </is>
      </c>
      <c r="D386" s="15" t="n"/>
      <c r="E386" s="17" t="inlineStr"/>
      <c r="F386" s="30" t="inlineStr">
        <is>
          <t>الهدف 1</t>
        </is>
      </c>
      <c r="G386" s="4" t="n"/>
    </row>
    <row r="387" ht="30" customHeight="1">
      <c r="B387" s="15" t="n">
        <v>8</v>
      </c>
      <c r="C387" s="17" t="inlineStr">
        <is>
          <t>هل تم تحديث الخطة المالية الرئيسية؟</t>
        </is>
      </c>
      <c r="D387" s="15" t="n"/>
      <c r="E387" s="17" t="inlineStr"/>
      <c r="F387" s="30" t="inlineStr">
        <is>
          <t>الهدف 2</t>
        </is>
      </c>
      <c r="G387" s="4" t="n"/>
    </row>
    <row r="388" ht="30" customHeight="1">
      <c r="B388" s="15" t="n">
        <v>9</v>
      </c>
      <c r="C388" s="17" t="inlineStr">
        <is>
          <t>هل تم تصدير شهادات الإنجاز للمالية؟</t>
        </is>
      </c>
      <c r="D388" s="15" t="n"/>
      <c r="E388" s="17" t="inlineStr"/>
      <c r="F388" s="30" t="inlineStr">
        <is>
          <t>الهدف 2</t>
        </is>
      </c>
      <c r="G388" s="4" t="n"/>
    </row>
    <row r="389" ht="30" customHeight="1">
      <c r="B389" s="15" t="n">
        <v>10</v>
      </c>
      <c r="C389" s="17" t="inlineStr">
        <is>
          <t>هل تم متابعة وتحديث المشاريع التشغيلية؟</t>
        </is>
      </c>
      <c r="D389" s="15" t="n"/>
      <c r="E389" s="17" t="inlineStr"/>
      <c r="F389" s="30" t="inlineStr">
        <is>
          <t>الهدف 1</t>
        </is>
      </c>
      <c r="G389" s="4" t="n"/>
    </row>
    <row r="390" ht="30" customHeight="1">
      <c r="B390" s="15" t="n">
        <v>11</v>
      </c>
      <c r="C390" s="17" t="inlineStr">
        <is>
          <t>هل تم رفع جميع الوثائق في نظام ميسر؟</t>
        </is>
      </c>
      <c r="D390" s="15" t="n"/>
      <c r="E390" s="17" t="inlineStr"/>
      <c r="F390" s="30" t="inlineStr">
        <is>
          <t>الهدف 1</t>
        </is>
      </c>
      <c r="G390" s="4" t="n"/>
    </row>
    <row r="391" ht="30" customHeight="1">
      <c r="B391" s="15" t="n">
        <v>12</v>
      </c>
      <c r="C391" s="17" t="inlineStr">
        <is>
          <t>هل يوجد مبادرات وإنجازات تم العمل عليها خلال هذا الأسبوع؟</t>
        </is>
      </c>
      <c r="D391" s="15" t="n"/>
      <c r="E391" s="17" t="inlineStr"/>
      <c r="F391" s="30" t="inlineStr">
        <is>
          <t>الهدف 5</t>
        </is>
      </c>
      <c r="G391" s="4" t="n"/>
    </row>
    <row r="392" ht="30" customHeight="1">
      <c r="B392" s="15" t="n">
        <v>13</v>
      </c>
      <c r="C392" s="17" t="inlineStr">
        <is>
          <t>هل تم الالتزام بمصفوفة الصلاحيات التشغيلية والحوكمة واتباعها؟</t>
        </is>
      </c>
      <c r="D392" s="15" t="n"/>
      <c r="E392" s="17" t="inlineStr"/>
      <c r="F392" s="30" t="inlineStr">
        <is>
          <t>الهدف 1</t>
        </is>
      </c>
      <c r="G392" s="4" t="n"/>
    </row>
    <row r="394">
      <c r="B394" s="28" t="inlineStr">
        <is>
          <t>المشروع: اعداد نظام التلفونات لمركز التأمين الصحي الوطني</t>
        </is>
      </c>
      <c r="C394" s="4" t="n"/>
      <c r="D394" s="4" t="n"/>
      <c r="E394" s="4" t="n"/>
      <c r="F394" s="29" t="inlineStr">
        <is>
          <t>المحفظة: التقنية والذكاء الاصطناعي</t>
        </is>
      </c>
      <c r="G394" s="4" t="n"/>
    </row>
    <row r="395">
      <c r="B395" s="9" t="inlineStr">
        <is>
          <t>#</t>
        </is>
      </c>
      <c r="C395" s="9" t="inlineStr">
        <is>
          <t>المهمة</t>
        </is>
      </c>
      <c r="D395" s="9" t="inlineStr">
        <is>
          <t>الحالة</t>
        </is>
      </c>
      <c r="E395" s="9" t="inlineStr">
        <is>
          <t>الملاحظات</t>
        </is>
      </c>
      <c r="F395" s="9" t="inlineStr">
        <is>
          <t>ارتباط بالهدف</t>
        </is>
      </c>
      <c r="G395" s="9" t="inlineStr">
        <is>
          <t>حالة المشروع</t>
        </is>
      </c>
    </row>
    <row r="396" ht="30" customHeight="1">
      <c r="B396" s="15" t="n">
        <v>1</v>
      </c>
      <c r="C396" s="17" t="inlineStr">
        <is>
          <t>هل تم تحديث الأنظمة والمنصات المتعلقة بالمشاريع؟</t>
        </is>
      </c>
      <c r="D396" s="15" t="n"/>
      <c r="E396" s="17" t="inlineStr"/>
      <c r="F396" s="30" t="inlineStr">
        <is>
          <t>الهدف 1</t>
        </is>
      </c>
      <c r="G396" s="16">
        <f>IF(COUNTIF(D396:D408,"نعم")=COUNTA(D396:D408),"مكتمل ومغلق",IF(COUNTA(D396:D408)=0,"لم يبدأ","جاري العمل عليه"))</f>
        <v/>
      </c>
    </row>
    <row r="397" ht="30" customHeight="1">
      <c r="B397" s="15" t="n">
        <v>2</v>
      </c>
      <c r="C397" s="17" t="inlineStr">
        <is>
          <t>هل تم تحديث الخطة التفصيلية للمشروع؟</t>
        </is>
      </c>
      <c r="D397" s="15" t="n"/>
      <c r="E397" s="17" t="inlineStr"/>
      <c r="F397" s="30" t="inlineStr">
        <is>
          <t>الهدف 1</t>
        </is>
      </c>
      <c r="G397" s="4" t="n"/>
    </row>
    <row r="398" ht="30" customHeight="1">
      <c r="B398" s="15" t="n">
        <v>3</v>
      </c>
      <c r="C398" s="17" t="inlineStr">
        <is>
          <t>هل تم حل التحديات والمخاطر؟</t>
        </is>
      </c>
      <c r="D398" s="15" t="n"/>
      <c r="E398" s="17" t="inlineStr"/>
      <c r="F398" s="30" t="inlineStr">
        <is>
          <t>الهدف 3</t>
        </is>
      </c>
      <c r="G398" s="4" t="n"/>
    </row>
    <row r="399" ht="30" customHeight="1">
      <c r="B399" s="15" t="n">
        <v>4</v>
      </c>
      <c r="C399" s="17" t="inlineStr">
        <is>
          <t>هل تم متابعة وإغلاق أوامر التغيير؟</t>
        </is>
      </c>
      <c r="D399" s="15" t="n"/>
      <c r="E399" s="17" t="inlineStr"/>
      <c r="F399" s="30" t="inlineStr">
        <is>
          <t>الهدف 3</t>
        </is>
      </c>
      <c r="G399" s="4" t="n"/>
    </row>
    <row r="400" ht="30" customHeight="1">
      <c r="B400" s="15" t="n">
        <v>5</v>
      </c>
      <c r="C400" s="17" t="inlineStr">
        <is>
          <t>هل تم إرسال تقرير أسبوعي لمالك المحفظة؟</t>
        </is>
      </c>
      <c r="D400" s="15" t="n"/>
      <c r="E400" s="17" t="inlineStr"/>
      <c r="F400" s="30" t="inlineStr">
        <is>
          <t>الهدف 4</t>
        </is>
      </c>
      <c r="G400" s="4" t="n"/>
    </row>
    <row r="401" ht="30" customHeight="1">
      <c r="B401" s="15" t="n">
        <v>6</v>
      </c>
      <c r="C401" s="17" t="inlineStr">
        <is>
          <t>هل تم التنبيه بثلاث أسابيع بحلول قرب تسليم المخرجات؟</t>
        </is>
      </c>
      <c r="D401" s="15" t="n"/>
      <c r="E401" s="17" t="inlineStr"/>
      <c r="F401" s="30" t="inlineStr">
        <is>
          <t>الهدف 1</t>
        </is>
      </c>
      <c r="G401" s="4" t="n"/>
    </row>
    <row r="402" ht="30" customHeight="1">
      <c r="B402" s="15" t="n">
        <v>7</v>
      </c>
      <c r="C402" s="17" t="inlineStr">
        <is>
          <t>هل تم متابعة تسليم المخرجات؟</t>
        </is>
      </c>
      <c r="D402" s="15" t="n"/>
      <c r="E402" s="17" t="inlineStr"/>
      <c r="F402" s="30" t="inlineStr">
        <is>
          <t>الهدف 1</t>
        </is>
      </c>
      <c r="G402" s="4" t="n"/>
    </row>
    <row r="403" ht="30" customHeight="1">
      <c r="B403" s="15" t="n">
        <v>8</v>
      </c>
      <c r="C403" s="17" t="inlineStr">
        <is>
          <t>هل تم تحديث الخطة المالية الرئيسية؟</t>
        </is>
      </c>
      <c r="D403" s="15" t="n"/>
      <c r="E403" s="17" t="inlineStr"/>
      <c r="F403" s="30" t="inlineStr">
        <is>
          <t>الهدف 2</t>
        </is>
      </c>
      <c r="G403" s="4" t="n"/>
    </row>
    <row r="404" ht="30" customHeight="1">
      <c r="B404" s="15" t="n">
        <v>9</v>
      </c>
      <c r="C404" s="17" t="inlineStr">
        <is>
          <t>هل تم تصدير شهادات الإنجاز للمالية؟</t>
        </is>
      </c>
      <c r="D404" s="15" t="n"/>
      <c r="E404" s="17" t="inlineStr"/>
      <c r="F404" s="30" t="inlineStr">
        <is>
          <t>الهدف 2</t>
        </is>
      </c>
      <c r="G404" s="4" t="n"/>
    </row>
    <row r="405" ht="30" customHeight="1">
      <c r="B405" s="15" t="n">
        <v>10</v>
      </c>
      <c r="C405" s="17" t="inlineStr">
        <is>
          <t>هل تم متابعة وتحديث المشاريع التشغيلية؟</t>
        </is>
      </c>
      <c r="D405" s="15" t="n"/>
      <c r="E405" s="17" t="inlineStr"/>
      <c r="F405" s="30" t="inlineStr">
        <is>
          <t>الهدف 1</t>
        </is>
      </c>
      <c r="G405" s="4" t="n"/>
    </row>
    <row r="406" ht="30" customHeight="1">
      <c r="B406" s="15" t="n">
        <v>11</v>
      </c>
      <c r="C406" s="17" t="inlineStr">
        <is>
          <t>هل تم رفع جميع الوثائق في نظام ميسر؟</t>
        </is>
      </c>
      <c r="D406" s="15" t="n"/>
      <c r="E406" s="17" t="inlineStr"/>
      <c r="F406" s="30" t="inlineStr">
        <is>
          <t>الهدف 1</t>
        </is>
      </c>
      <c r="G406" s="4" t="n"/>
    </row>
    <row r="407" ht="30" customHeight="1">
      <c r="B407" s="15" t="n">
        <v>12</v>
      </c>
      <c r="C407" s="17" t="inlineStr">
        <is>
          <t>هل يوجد مبادرات وإنجازات تم العمل عليها خلال هذا الأسبوع؟</t>
        </is>
      </c>
      <c r="D407" s="15" t="n"/>
      <c r="E407" s="17" t="inlineStr"/>
      <c r="F407" s="30" t="inlineStr">
        <is>
          <t>الهدف 5</t>
        </is>
      </c>
      <c r="G407" s="4" t="n"/>
    </row>
    <row r="408" ht="30" customHeight="1">
      <c r="B408" s="15" t="n">
        <v>13</v>
      </c>
      <c r="C408" s="17" t="inlineStr">
        <is>
          <t>هل تم الالتزام بمصفوفة الصلاحيات التشغيلية والحوكمة واتباعها؟</t>
        </is>
      </c>
      <c r="D408" s="15" t="n"/>
      <c r="E408" s="17" t="inlineStr"/>
      <c r="F408" s="30" t="inlineStr">
        <is>
          <t>الهدف 1</t>
        </is>
      </c>
      <c r="G408" s="4" t="n"/>
    </row>
    <row r="410">
      <c r="B410" s="28" t="inlineStr">
        <is>
          <t>المشروع: مراجعة وتحديث معايير ترميز الأمراض والإجراءات الطبية</t>
        </is>
      </c>
      <c r="C410" s="4" t="n"/>
      <c r="D410" s="4" t="n"/>
      <c r="E410" s="4" t="n"/>
      <c r="F410" s="29" t="inlineStr">
        <is>
          <t>المحفظة: الترميز الطبي وحساب التكاليف</t>
        </is>
      </c>
      <c r="G410" s="4" t="n"/>
    </row>
    <row r="411">
      <c r="B411" s="9" t="inlineStr">
        <is>
          <t>#</t>
        </is>
      </c>
      <c r="C411" s="9" t="inlineStr">
        <is>
          <t>المهمة</t>
        </is>
      </c>
      <c r="D411" s="9" t="inlineStr">
        <is>
          <t>الحالة</t>
        </is>
      </c>
      <c r="E411" s="9" t="inlineStr">
        <is>
          <t>الملاحظات</t>
        </is>
      </c>
      <c r="F411" s="9" t="inlineStr">
        <is>
          <t>ارتباط بالهدف</t>
        </is>
      </c>
      <c r="G411" s="9" t="inlineStr">
        <is>
          <t>حالة المشروع</t>
        </is>
      </c>
    </row>
    <row r="412" ht="30" customHeight="1">
      <c r="B412" s="15" t="n">
        <v>1</v>
      </c>
      <c r="C412" s="17" t="inlineStr">
        <is>
          <t>هل تم تحديث الأنظمة والمنصات المتعلقة بالمشاريع؟</t>
        </is>
      </c>
      <c r="D412" s="15" t="n"/>
      <c r="E412" s="17" t="inlineStr"/>
      <c r="F412" s="30" t="inlineStr">
        <is>
          <t>الهدف 1</t>
        </is>
      </c>
      <c r="G412" s="16">
        <f>IF(COUNTIF(D412:D424,"نعم")=COUNTA(D412:D424),"مكتمل ومغلق",IF(COUNTA(D412:D424)=0,"لم يبدأ","جاري العمل عليه"))</f>
        <v/>
      </c>
    </row>
    <row r="413" ht="30" customHeight="1">
      <c r="B413" s="15" t="n">
        <v>2</v>
      </c>
      <c r="C413" s="17" t="inlineStr">
        <is>
          <t>هل تم تحديث الخطة التفصيلية للمشروع؟</t>
        </is>
      </c>
      <c r="D413" s="15" t="n"/>
      <c r="E413" s="17" t="inlineStr"/>
      <c r="F413" s="30" t="inlineStr">
        <is>
          <t>الهدف 1</t>
        </is>
      </c>
      <c r="G413" s="4" t="n"/>
    </row>
    <row r="414" ht="30" customHeight="1">
      <c r="B414" s="15" t="n">
        <v>3</v>
      </c>
      <c r="C414" s="17" t="inlineStr">
        <is>
          <t>هل تم حل التحديات والمخاطر؟</t>
        </is>
      </c>
      <c r="D414" s="15" t="n"/>
      <c r="E414" s="17" t="inlineStr"/>
      <c r="F414" s="30" t="inlineStr">
        <is>
          <t>الهدف 3</t>
        </is>
      </c>
      <c r="G414" s="4" t="n"/>
    </row>
    <row r="415" ht="30" customHeight="1">
      <c r="B415" s="15" t="n">
        <v>4</v>
      </c>
      <c r="C415" s="17" t="inlineStr">
        <is>
          <t>هل تم متابعة وإغلاق أوامر التغيير؟</t>
        </is>
      </c>
      <c r="D415" s="15" t="n"/>
      <c r="E415" s="17" t="inlineStr"/>
      <c r="F415" s="30" t="inlineStr">
        <is>
          <t>الهدف 3</t>
        </is>
      </c>
      <c r="G415" s="4" t="n"/>
    </row>
    <row r="416" ht="30" customHeight="1">
      <c r="B416" s="15" t="n">
        <v>5</v>
      </c>
      <c r="C416" s="17" t="inlineStr">
        <is>
          <t>هل تم إرسال تقرير أسبوعي لمالك المحفظة؟</t>
        </is>
      </c>
      <c r="D416" s="15" t="n"/>
      <c r="E416" s="17" t="inlineStr"/>
      <c r="F416" s="30" t="inlineStr">
        <is>
          <t>الهدف 4</t>
        </is>
      </c>
      <c r="G416" s="4" t="n"/>
    </row>
    <row r="417" ht="30" customHeight="1">
      <c r="B417" s="15" t="n">
        <v>6</v>
      </c>
      <c r="C417" s="17" t="inlineStr">
        <is>
          <t>هل تم التنبيه بثلاث أسابيع بحلول قرب تسليم المخرجات؟</t>
        </is>
      </c>
      <c r="D417" s="15" t="n"/>
      <c r="E417" s="17" t="inlineStr"/>
      <c r="F417" s="30" t="inlineStr">
        <is>
          <t>الهدف 1</t>
        </is>
      </c>
      <c r="G417" s="4" t="n"/>
    </row>
    <row r="418" ht="30" customHeight="1">
      <c r="B418" s="15" t="n">
        <v>7</v>
      </c>
      <c r="C418" s="17" t="inlineStr">
        <is>
          <t>هل تم متابعة تسليم المخرجات؟</t>
        </is>
      </c>
      <c r="D418" s="15" t="n"/>
      <c r="E418" s="17" t="inlineStr"/>
      <c r="F418" s="30" t="inlineStr">
        <is>
          <t>الهدف 1</t>
        </is>
      </c>
      <c r="G418" s="4" t="n"/>
    </row>
    <row r="419" ht="30" customHeight="1">
      <c r="B419" s="15" t="n">
        <v>8</v>
      </c>
      <c r="C419" s="17" t="inlineStr">
        <is>
          <t>هل تم تحديث الخطة المالية الرئيسية؟</t>
        </is>
      </c>
      <c r="D419" s="15" t="n"/>
      <c r="E419" s="17" t="inlineStr"/>
      <c r="F419" s="30" t="inlineStr">
        <is>
          <t>الهدف 2</t>
        </is>
      </c>
      <c r="G419" s="4" t="n"/>
    </row>
    <row r="420" ht="30" customHeight="1">
      <c r="B420" s="15" t="n">
        <v>9</v>
      </c>
      <c r="C420" s="17" t="inlineStr">
        <is>
          <t>هل تم تصدير شهادات الإنجاز للمالية؟</t>
        </is>
      </c>
      <c r="D420" s="15" t="n"/>
      <c r="E420" s="17" t="inlineStr"/>
      <c r="F420" s="30" t="inlineStr">
        <is>
          <t>الهدف 2</t>
        </is>
      </c>
      <c r="G420" s="4" t="n"/>
    </row>
    <row r="421" ht="30" customHeight="1">
      <c r="B421" s="15" t="n">
        <v>10</v>
      </c>
      <c r="C421" s="17" t="inlineStr">
        <is>
          <t>هل تم متابعة وتحديث المشاريع التشغيلية؟</t>
        </is>
      </c>
      <c r="D421" s="15" t="n"/>
      <c r="E421" s="17" t="inlineStr"/>
      <c r="F421" s="30" t="inlineStr">
        <is>
          <t>الهدف 1</t>
        </is>
      </c>
      <c r="G421" s="4" t="n"/>
    </row>
    <row r="422" ht="30" customHeight="1">
      <c r="B422" s="15" t="n">
        <v>11</v>
      </c>
      <c r="C422" s="17" t="inlineStr">
        <is>
          <t>هل تم رفع جميع الوثائق في نظام ميسر؟</t>
        </is>
      </c>
      <c r="D422" s="15" t="n"/>
      <c r="E422" s="17" t="inlineStr"/>
      <c r="F422" s="30" t="inlineStr">
        <is>
          <t>الهدف 1</t>
        </is>
      </c>
      <c r="G422" s="4" t="n"/>
    </row>
    <row r="423" ht="30" customHeight="1">
      <c r="B423" s="15" t="n">
        <v>12</v>
      </c>
      <c r="C423" s="17" t="inlineStr">
        <is>
          <t>هل يوجد مبادرات وإنجازات تم العمل عليها خلال هذا الأسبوع؟</t>
        </is>
      </c>
      <c r="D423" s="15" t="n"/>
      <c r="E423" s="17" t="inlineStr"/>
      <c r="F423" s="30" t="inlineStr">
        <is>
          <t>الهدف 5</t>
        </is>
      </c>
      <c r="G423" s="4" t="n"/>
    </row>
    <row r="424" ht="30" customHeight="1">
      <c r="B424" s="15" t="n">
        <v>13</v>
      </c>
      <c r="C424" s="17" t="inlineStr">
        <is>
          <t>هل تم الالتزام بمصفوفة الصلاحيات التشغيلية والحوكمة واتباعها؟</t>
        </is>
      </c>
      <c r="D424" s="15" t="n"/>
      <c r="E424" s="17" t="inlineStr"/>
      <c r="F424" s="30" t="inlineStr">
        <is>
          <t>الهدف 1</t>
        </is>
      </c>
      <c r="G424" s="4" t="n"/>
    </row>
    <row r="426">
      <c r="B426" s="28" t="inlineStr">
        <is>
          <t>المشروع: مشروع البوابة الإلكترونية لجمع البيانات الطبية المرمزة (المرحلة الثالثة)</t>
        </is>
      </c>
      <c r="C426" s="4" t="n"/>
      <c r="D426" s="4" t="n"/>
      <c r="E426" s="4" t="n"/>
      <c r="F426" s="29" t="inlineStr">
        <is>
          <t>المحفظة: التقنية والذكاء الاصطناعي</t>
        </is>
      </c>
      <c r="G426" s="4" t="n"/>
    </row>
    <row r="427">
      <c r="B427" s="9" t="inlineStr">
        <is>
          <t>#</t>
        </is>
      </c>
      <c r="C427" s="9" t="inlineStr">
        <is>
          <t>المهمة</t>
        </is>
      </c>
      <c r="D427" s="9" t="inlineStr">
        <is>
          <t>الحالة</t>
        </is>
      </c>
      <c r="E427" s="9" t="inlineStr">
        <is>
          <t>الملاحظات</t>
        </is>
      </c>
      <c r="F427" s="9" t="inlineStr">
        <is>
          <t>ارتباط بالهدف</t>
        </is>
      </c>
      <c r="G427" s="9" t="inlineStr">
        <is>
          <t>حالة المشروع</t>
        </is>
      </c>
    </row>
    <row r="428" ht="30" customHeight="1">
      <c r="B428" s="15" t="n">
        <v>1</v>
      </c>
      <c r="C428" s="17" t="inlineStr">
        <is>
          <t>هل تم تحديث الأنظمة والمنصات المتعلقة بالمشاريع؟</t>
        </is>
      </c>
      <c r="D428" s="15" t="n"/>
      <c r="E428" s="17" t="inlineStr"/>
      <c r="F428" s="30" t="inlineStr">
        <is>
          <t>الهدف 1</t>
        </is>
      </c>
      <c r="G428" s="16">
        <f>IF(COUNTIF(D428:D440,"نعم")=COUNTA(D428:D440),"مكتمل ومغلق",IF(COUNTA(D428:D440)=0,"لم يبدأ","جاري العمل عليه"))</f>
        <v/>
      </c>
    </row>
    <row r="429" ht="30" customHeight="1">
      <c r="B429" s="15" t="n">
        <v>2</v>
      </c>
      <c r="C429" s="17" t="inlineStr">
        <is>
          <t>هل تم تحديث الخطة التفصيلية للمشروع؟</t>
        </is>
      </c>
      <c r="D429" s="15" t="n"/>
      <c r="E429" s="17" t="inlineStr"/>
      <c r="F429" s="30" t="inlineStr">
        <is>
          <t>الهدف 1</t>
        </is>
      </c>
      <c r="G429" s="4" t="n"/>
    </row>
    <row r="430" ht="30" customHeight="1">
      <c r="B430" s="15" t="n">
        <v>3</v>
      </c>
      <c r="C430" s="17" t="inlineStr">
        <is>
          <t>هل تم حل التحديات والمخاطر؟</t>
        </is>
      </c>
      <c r="D430" s="15" t="n"/>
      <c r="E430" s="17" t="inlineStr"/>
      <c r="F430" s="30" t="inlineStr">
        <is>
          <t>الهدف 3</t>
        </is>
      </c>
      <c r="G430" s="4" t="n"/>
    </row>
    <row r="431" ht="30" customHeight="1">
      <c r="B431" s="15" t="n">
        <v>4</v>
      </c>
      <c r="C431" s="17" t="inlineStr">
        <is>
          <t>هل تم متابعة وإغلاق أوامر التغيير؟</t>
        </is>
      </c>
      <c r="D431" s="15" t="n"/>
      <c r="E431" s="17" t="inlineStr"/>
      <c r="F431" s="30" t="inlineStr">
        <is>
          <t>الهدف 3</t>
        </is>
      </c>
      <c r="G431" s="4" t="n"/>
    </row>
    <row r="432" ht="30" customHeight="1">
      <c r="B432" s="15" t="n">
        <v>5</v>
      </c>
      <c r="C432" s="17" t="inlineStr">
        <is>
          <t>هل تم إرسال تقرير أسبوعي لمالك المحفظة؟</t>
        </is>
      </c>
      <c r="D432" s="15" t="n"/>
      <c r="E432" s="17" t="inlineStr"/>
      <c r="F432" s="30" t="inlineStr">
        <is>
          <t>الهدف 4</t>
        </is>
      </c>
      <c r="G432" s="4" t="n"/>
    </row>
    <row r="433" ht="30" customHeight="1">
      <c r="B433" s="15" t="n">
        <v>6</v>
      </c>
      <c r="C433" s="17" t="inlineStr">
        <is>
          <t>هل تم التنبيه بثلاث أسابيع بحلول قرب تسليم المخرجات؟</t>
        </is>
      </c>
      <c r="D433" s="15" t="n"/>
      <c r="E433" s="17" t="inlineStr"/>
      <c r="F433" s="30" t="inlineStr">
        <is>
          <t>الهدف 1</t>
        </is>
      </c>
      <c r="G433" s="4" t="n"/>
    </row>
    <row r="434" ht="30" customHeight="1">
      <c r="B434" s="15" t="n">
        <v>7</v>
      </c>
      <c r="C434" s="17" t="inlineStr">
        <is>
          <t>هل تم متابعة تسليم المخرجات؟</t>
        </is>
      </c>
      <c r="D434" s="15" t="n"/>
      <c r="E434" s="17" t="inlineStr"/>
      <c r="F434" s="30" t="inlineStr">
        <is>
          <t>الهدف 1</t>
        </is>
      </c>
      <c r="G434" s="4" t="n"/>
    </row>
    <row r="435" ht="30" customHeight="1">
      <c r="B435" s="15" t="n">
        <v>8</v>
      </c>
      <c r="C435" s="17" t="inlineStr">
        <is>
          <t>هل تم تحديث الخطة المالية الرئيسية؟</t>
        </is>
      </c>
      <c r="D435" s="15" t="n"/>
      <c r="E435" s="17" t="inlineStr"/>
      <c r="F435" s="30" t="inlineStr">
        <is>
          <t>الهدف 2</t>
        </is>
      </c>
      <c r="G435" s="4" t="n"/>
    </row>
    <row r="436" ht="30" customHeight="1">
      <c r="B436" s="15" t="n">
        <v>9</v>
      </c>
      <c r="C436" s="17" t="inlineStr">
        <is>
          <t>هل تم تصدير شهادات الإنجاز للمالية؟</t>
        </is>
      </c>
      <c r="D436" s="15" t="n"/>
      <c r="E436" s="17" t="inlineStr"/>
      <c r="F436" s="30" t="inlineStr">
        <is>
          <t>الهدف 2</t>
        </is>
      </c>
      <c r="G436" s="4" t="n"/>
    </row>
    <row r="437" ht="30" customHeight="1">
      <c r="B437" s="15" t="n">
        <v>10</v>
      </c>
      <c r="C437" s="17" t="inlineStr">
        <is>
          <t>هل تم متابعة وتحديث المشاريع التشغيلية؟</t>
        </is>
      </c>
      <c r="D437" s="15" t="n"/>
      <c r="E437" s="17" t="inlineStr"/>
      <c r="F437" s="30" t="inlineStr">
        <is>
          <t>الهدف 1</t>
        </is>
      </c>
      <c r="G437" s="4" t="n"/>
    </row>
    <row r="438" ht="30" customHeight="1">
      <c r="B438" s="15" t="n">
        <v>11</v>
      </c>
      <c r="C438" s="17" t="inlineStr">
        <is>
          <t>هل تم رفع جميع الوثائق في نظام ميسر؟</t>
        </is>
      </c>
      <c r="D438" s="15" t="n"/>
      <c r="E438" s="17" t="inlineStr"/>
      <c r="F438" s="30" t="inlineStr">
        <is>
          <t>الهدف 1</t>
        </is>
      </c>
      <c r="G438" s="4" t="n"/>
    </row>
    <row r="439" ht="30" customHeight="1">
      <c r="B439" s="15" t="n">
        <v>12</v>
      </c>
      <c r="C439" s="17" t="inlineStr">
        <is>
          <t>هل يوجد مبادرات وإنجازات تم العمل عليها خلال هذا الأسبوع؟</t>
        </is>
      </c>
      <c r="D439" s="15" t="n"/>
      <c r="E439" s="17" t="inlineStr"/>
      <c r="F439" s="30" t="inlineStr">
        <is>
          <t>الهدف 5</t>
        </is>
      </c>
      <c r="G439" s="4" t="n"/>
    </row>
    <row r="440" ht="30" customHeight="1">
      <c r="B440" s="15" t="n">
        <v>13</v>
      </c>
      <c r="C440" s="17" t="inlineStr">
        <is>
          <t>هل تم الالتزام بمصفوفة الصلاحيات التشغيلية والحوكمة واتباعها؟</t>
        </is>
      </c>
      <c r="D440" s="15" t="n"/>
      <c r="E440" s="17" t="inlineStr"/>
      <c r="F440" s="30" t="inlineStr">
        <is>
          <t>الهدف 1</t>
        </is>
      </c>
      <c r="G440" s="4" t="n"/>
    </row>
    <row r="442">
      <c r="B442" s="28" t="inlineStr">
        <is>
          <t>المشروع: مشروع تأسيس البنية التحتية لمركز بيانات برنامج الضمان الصحي وشراء الخدمات الصحية</t>
        </is>
      </c>
      <c r="C442" s="4" t="n"/>
      <c r="D442" s="4" t="n"/>
      <c r="E442" s="4" t="n"/>
      <c r="F442" s="29" t="inlineStr">
        <is>
          <t>المحفظة: التقنية والذكاء الاصطناعي</t>
        </is>
      </c>
      <c r="G442" s="4" t="n"/>
    </row>
    <row r="443">
      <c r="B443" s="9" t="inlineStr">
        <is>
          <t>#</t>
        </is>
      </c>
      <c r="C443" s="9" t="inlineStr">
        <is>
          <t>المهمة</t>
        </is>
      </c>
      <c r="D443" s="9" t="inlineStr">
        <is>
          <t>الحالة</t>
        </is>
      </c>
      <c r="E443" s="9" t="inlineStr">
        <is>
          <t>الملاحظات</t>
        </is>
      </c>
      <c r="F443" s="9" t="inlineStr">
        <is>
          <t>ارتباط بالهدف</t>
        </is>
      </c>
      <c r="G443" s="9" t="inlineStr">
        <is>
          <t>حالة المشروع</t>
        </is>
      </c>
    </row>
    <row r="444" ht="30" customHeight="1">
      <c r="B444" s="15" t="n">
        <v>1</v>
      </c>
      <c r="C444" s="17" t="inlineStr">
        <is>
          <t>هل تم تحديث الأنظمة والمنصات المتعلقة بالمشاريع؟</t>
        </is>
      </c>
      <c r="D444" s="15" t="n"/>
      <c r="E444" s="17" t="inlineStr"/>
      <c r="F444" s="30" t="inlineStr">
        <is>
          <t>الهدف 1</t>
        </is>
      </c>
      <c r="G444" s="16">
        <f>IF(COUNTIF(D444:D456,"نعم")=COUNTA(D444:D456),"مكتمل ومغلق",IF(COUNTA(D444:D456)=0,"لم يبدأ","جاري العمل عليه"))</f>
        <v/>
      </c>
    </row>
    <row r="445" ht="30" customHeight="1">
      <c r="B445" s="15" t="n">
        <v>2</v>
      </c>
      <c r="C445" s="17" t="inlineStr">
        <is>
          <t>هل تم تحديث الخطة التفصيلية للمشروع؟</t>
        </is>
      </c>
      <c r="D445" s="15" t="n"/>
      <c r="E445" s="17" t="inlineStr"/>
      <c r="F445" s="30" t="inlineStr">
        <is>
          <t>الهدف 1</t>
        </is>
      </c>
      <c r="G445" s="4" t="n"/>
    </row>
    <row r="446" ht="30" customHeight="1">
      <c r="B446" s="15" t="n">
        <v>3</v>
      </c>
      <c r="C446" s="17" t="inlineStr">
        <is>
          <t>هل تم حل التحديات والمخاطر؟</t>
        </is>
      </c>
      <c r="D446" s="15" t="n"/>
      <c r="E446" s="17" t="inlineStr"/>
      <c r="F446" s="30" t="inlineStr">
        <is>
          <t>الهدف 3</t>
        </is>
      </c>
      <c r="G446" s="4" t="n"/>
    </row>
    <row r="447" ht="30" customHeight="1">
      <c r="B447" s="15" t="n">
        <v>4</v>
      </c>
      <c r="C447" s="17" t="inlineStr">
        <is>
          <t>هل تم متابعة وإغلاق أوامر التغيير؟</t>
        </is>
      </c>
      <c r="D447" s="15" t="n"/>
      <c r="E447" s="17" t="inlineStr"/>
      <c r="F447" s="30" t="inlineStr">
        <is>
          <t>الهدف 3</t>
        </is>
      </c>
      <c r="G447" s="4" t="n"/>
    </row>
    <row r="448" ht="30" customHeight="1">
      <c r="B448" s="15" t="n">
        <v>5</v>
      </c>
      <c r="C448" s="17" t="inlineStr">
        <is>
          <t>هل تم إرسال تقرير أسبوعي لمالك المحفظة؟</t>
        </is>
      </c>
      <c r="D448" s="15" t="n"/>
      <c r="E448" s="17" t="inlineStr"/>
      <c r="F448" s="30" t="inlineStr">
        <is>
          <t>الهدف 4</t>
        </is>
      </c>
      <c r="G448" s="4" t="n"/>
    </row>
    <row r="449" ht="30" customHeight="1">
      <c r="B449" s="15" t="n">
        <v>6</v>
      </c>
      <c r="C449" s="17" t="inlineStr">
        <is>
          <t>هل تم التنبيه بثلاث أسابيع بحلول قرب تسليم المخرجات؟</t>
        </is>
      </c>
      <c r="D449" s="15" t="n"/>
      <c r="E449" s="17" t="inlineStr"/>
      <c r="F449" s="30" t="inlineStr">
        <is>
          <t>الهدف 1</t>
        </is>
      </c>
      <c r="G449" s="4" t="n"/>
    </row>
    <row r="450" ht="30" customHeight="1">
      <c r="B450" s="15" t="n">
        <v>7</v>
      </c>
      <c r="C450" s="17" t="inlineStr">
        <is>
          <t>هل تم متابعة تسليم المخرجات؟</t>
        </is>
      </c>
      <c r="D450" s="15" t="n"/>
      <c r="E450" s="17" t="inlineStr"/>
      <c r="F450" s="30" t="inlineStr">
        <is>
          <t>الهدف 1</t>
        </is>
      </c>
      <c r="G450" s="4" t="n"/>
    </row>
    <row r="451" ht="30" customHeight="1">
      <c r="B451" s="15" t="n">
        <v>8</v>
      </c>
      <c r="C451" s="17" t="inlineStr">
        <is>
          <t>هل تم تحديث الخطة المالية الرئيسية؟</t>
        </is>
      </c>
      <c r="D451" s="15" t="n"/>
      <c r="E451" s="17" t="inlineStr"/>
      <c r="F451" s="30" t="inlineStr">
        <is>
          <t>الهدف 2</t>
        </is>
      </c>
      <c r="G451" s="4" t="n"/>
    </row>
    <row r="452" ht="30" customHeight="1">
      <c r="B452" s="15" t="n">
        <v>9</v>
      </c>
      <c r="C452" s="17" t="inlineStr">
        <is>
          <t>هل تم تصدير شهادات الإنجاز للمالية؟</t>
        </is>
      </c>
      <c r="D452" s="15" t="n"/>
      <c r="E452" s="17" t="inlineStr"/>
      <c r="F452" s="30" t="inlineStr">
        <is>
          <t>الهدف 2</t>
        </is>
      </c>
      <c r="G452" s="4" t="n"/>
    </row>
    <row r="453" ht="30" customHeight="1">
      <c r="B453" s="15" t="n">
        <v>10</v>
      </c>
      <c r="C453" s="17" t="inlineStr">
        <is>
          <t>هل تم متابعة وتحديث المشاريع التشغيلية؟</t>
        </is>
      </c>
      <c r="D453" s="15" t="n"/>
      <c r="E453" s="17" t="inlineStr"/>
      <c r="F453" s="30" t="inlineStr">
        <is>
          <t>الهدف 1</t>
        </is>
      </c>
      <c r="G453" s="4" t="n"/>
    </row>
    <row r="454" ht="30" customHeight="1">
      <c r="B454" s="15" t="n">
        <v>11</v>
      </c>
      <c r="C454" s="17" t="inlineStr">
        <is>
          <t>هل تم رفع جميع الوثائق في نظام ميسر؟</t>
        </is>
      </c>
      <c r="D454" s="15" t="n"/>
      <c r="E454" s="17" t="inlineStr"/>
      <c r="F454" s="30" t="inlineStr">
        <is>
          <t>الهدف 1</t>
        </is>
      </c>
      <c r="G454" s="4" t="n"/>
    </row>
    <row r="455" ht="30" customHeight="1">
      <c r="B455" s="15" t="n">
        <v>12</v>
      </c>
      <c r="C455" s="17" t="inlineStr">
        <is>
          <t>هل يوجد مبادرات وإنجازات تم العمل عليها خلال هذا الأسبوع؟</t>
        </is>
      </c>
      <c r="D455" s="15" t="n"/>
      <c r="E455" s="17" t="inlineStr"/>
      <c r="F455" s="30" t="inlineStr">
        <is>
          <t>الهدف 5</t>
        </is>
      </c>
      <c r="G455" s="4" t="n"/>
    </row>
    <row r="456" ht="30" customHeight="1">
      <c r="B456" s="15" t="n">
        <v>13</v>
      </c>
      <c r="C456" s="17" t="inlineStr">
        <is>
          <t>هل تم الالتزام بمصفوفة الصلاحيات التشغيلية والحوكمة واتباعها؟</t>
        </is>
      </c>
      <c r="D456" s="15" t="n"/>
      <c r="E456" s="17" t="inlineStr"/>
      <c r="F456" s="30" t="inlineStr">
        <is>
          <t>الهدف 1</t>
        </is>
      </c>
      <c r="G456" s="4" t="n"/>
    </row>
    <row r="458">
      <c r="B458" s="28" t="inlineStr">
        <is>
          <t>المشروع: مشروع نظام الاتصالات الإدارية وإدارة اللجان والاجتماعات</t>
        </is>
      </c>
      <c r="C458" s="4" t="n"/>
      <c r="D458" s="4" t="n"/>
      <c r="E458" s="4" t="n"/>
      <c r="F458" s="29" t="inlineStr">
        <is>
          <t>المحفظة: التقنية والذكاء الاصطناعي</t>
        </is>
      </c>
      <c r="G458" s="4" t="n"/>
    </row>
    <row r="459">
      <c r="B459" s="9" t="inlineStr">
        <is>
          <t>#</t>
        </is>
      </c>
      <c r="C459" s="9" t="inlineStr">
        <is>
          <t>المهمة</t>
        </is>
      </c>
      <c r="D459" s="9" t="inlineStr">
        <is>
          <t>الحالة</t>
        </is>
      </c>
      <c r="E459" s="9" t="inlineStr">
        <is>
          <t>الملاحظات</t>
        </is>
      </c>
      <c r="F459" s="9" t="inlineStr">
        <is>
          <t>ارتباط بالهدف</t>
        </is>
      </c>
      <c r="G459" s="9" t="inlineStr">
        <is>
          <t>حالة المشروع</t>
        </is>
      </c>
    </row>
    <row r="460" ht="30" customHeight="1">
      <c r="B460" s="15" t="n">
        <v>1</v>
      </c>
      <c r="C460" s="17" t="inlineStr">
        <is>
          <t>هل تم تحديث الأنظمة والمنصات المتعلقة بالمشاريع؟</t>
        </is>
      </c>
      <c r="D460" s="15" t="n"/>
      <c r="E460" s="17" t="inlineStr"/>
      <c r="F460" s="30" t="inlineStr">
        <is>
          <t>الهدف 1</t>
        </is>
      </c>
      <c r="G460" s="16">
        <f>IF(COUNTIF(D460:D472,"نعم")=COUNTA(D460:D472),"مكتمل ومغلق",IF(COUNTA(D460:D472)=0,"لم يبدأ","جاري العمل عليه"))</f>
        <v/>
      </c>
    </row>
    <row r="461" ht="30" customHeight="1">
      <c r="B461" s="15" t="n">
        <v>2</v>
      </c>
      <c r="C461" s="17" t="inlineStr">
        <is>
          <t>هل تم تحديث الخطة التفصيلية للمشروع؟</t>
        </is>
      </c>
      <c r="D461" s="15" t="n"/>
      <c r="E461" s="17" t="inlineStr"/>
      <c r="F461" s="30" t="inlineStr">
        <is>
          <t>الهدف 1</t>
        </is>
      </c>
      <c r="G461" s="4" t="n"/>
    </row>
    <row r="462" ht="30" customHeight="1">
      <c r="B462" s="15" t="n">
        <v>3</v>
      </c>
      <c r="C462" s="17" t="inlineStr">
        <is>
          <t>هل تم حل التحديات والمخاطر؟</t>
        </is>
      </c>
      <c r="D462" s="15" t="n"/>
      <c r="E462" s="17" t="inlineStr"/>
      <c r="F462" s="30" t="inlineStr">
        <is>
          <t>الهدف 3</t>
        </is>
      </c>
      <c r="G462" s="4" t="n"/>
    </row>
    <row r="463" ht="30" customHeight="1">
      <c r="B463" s="15" t="n">
        <v>4</v>
      </c>
      <c r="C463" s="17" t="inlineStr">
        <is>
          <t>هل تم متابعة وإغلاق أوامر التغيير؟</t>
        </is>
      </c>
      <c r="D463" s="15" t="n"/>
      <c r="E463" s="17" t="inlineStr"/>
      <c r="F463" s="30" t="inlineStr">
        <is>
          <t>الهدف 3</t>
        </is>
      </c>
      <c r="G463" s="4" t="n"/>
    </row>
    <row r="464" ht="30" customHeight="1">
      <c r="B464" s="15" t="n">
        <v>5</v>
      </c>
      <c r="C464" s="17" t="inlineStr">
        <is>
          <t>هل تم إرسال تقرير أسبوعي لمالك المحفظة؟</t>
        </is>
      </c>
      <c r="D464" s="15" t="n"/>
      <c r="E464" s="17" t="inlineStr"/>
      <c r="F464" s="30" t="inlineStr">
        <is>
          <t>الهدف 4</t>
        </is>
      </c>
      <c r="G464" s="4" t="n"/>
    </row>
    <row r="465" ht="30" customHeight="1">
      <c r="B465" s="15" t="n">
        <v>6</v>
      </c>
      <c r="C465" s="17" t="inlineStr">
        <is>
          <t>هل تم التنبيه بثلاث أسابيع بحلول قرب تسليم المخرجات؟</t>
        </is>
      </c>
      <c r="D465" s="15" t="n"/>
      <c r="E465" s="17" t="inlineStr"/>
      <c r="F465" s="30" t="inlineStr">
        <is>
          <t>الهدف 1</t>
        </is>
      </c>
      <c r="G465" s="4" t="n"/>
    </row>
    <row r="466" ht="30" customHeight="1">
      <c r="B466" s="15" t="n">
        <v>7</v>
      </c>
      <c r="C466" s="17" t="inlineStr">
        <is>
          <t>هل تم متابعة تسليم المخرجات؟</t>
        </is>
      </c>
      <c r="D466" s="15" t="n"/>
      <c r="E466" s="17" t="inlineStr"/>
      <c r="F466" s="30" t="inlineStr">
        <is>
          <t>الهدف 1</t>
        </is>
      </c>
      <c r="G466" s="4" t="n"/>
    </row>
    <row r="467" ht="30" customHeight="1">
      <c r="B467" s="15" t="n">
        <v>8</v>
      </c>
      <c r="C467" s="17" t="inlineStr">
        <is>
          <t>هل تم تحديث الخطة المالية الرئيسية؟</t>
        </is>
      </c>
      <c r="D467" s="15" t="n"/>
      <c r="E467" s="17" t="inlineStr"/>
      <c r="F467" s="30" t="inlineStr">
        <is>
          <t>الهدف 2</t>
        </is>
      </c>
      <c r="G467" s="4" t="n"/>
    </row>
    <row r="468" ht="30" customHeight="1">
      <c r="B468" s="15" t="n">
        <v>9</v>
      </c>
      <c r="C468" s="17" t="inlineStr">
        <is>
          <t>هل تم تصدير شهادات الإنجاز للمالية؟</t>
        </is>
      </c>
      <c r="D468" s="15" t="n"/>
      <c r="E468" s="17" t="inlineStr"/>
      <c r="F468" s="30" t="inlineStr">
        <is>
          <t>الهدف 2</t>
        </is>
      </c>
      <c r="G468" s="4" t="n"/>
    </row>
    <row r="469" ht="30" customHeight="1">
      <c r="B469" s="15" t="n">
        <v>10</v>
      </c>
      <c r="C469" s="17" t="inlineStr">
        <is>
          <t>هل تم متابعة وتحديث المشاريع التشغيلية؟</t>
        </is>
      </c>
      <c r="D469" s="15" t="n"/>
      <c r="E469" s="17" t="inlineStr"/>
      <c r="F469" s="30" t="inlineStr">
        <is>
          <t>الهدف 1</t>
        </is>
      </c>
      <c r="G469" s="4" t="n"/>
    </row>
    <row r="470" ht="30" customHeight="1">
      <c r="B470" s="15" t="n">
        <v>11</v>
      </c>
      <c r="C470" s="17" t="inlineStr">
        <is>
          <t>هل تم رفع جميع الوثائق في نظام ميسر؟</t>
        </is>
      </c>
      <c r="D470" s="15" t="n"/>
      <c r="E470" s="17" t="inlineStr"/>
      <c r="F470" s="30" t="inlineStr">
        <is>
          <t>الهدف 1</t>
        </is>
      </c>
      <c r="G470" s="4" t="n"/>
    </row>
    <row r="471" ht="30" customHeight="1">
      <c r="B471" s="15" t="n">
        <v>12</v>
      </c>
      <c r="C471" s="17" t="inlineStr">
        <is>
          <t>هل يوجد مبادرات وإنجازات تم العمل عليها خلال هذا الأسبوع؟</t>
        </is>
      </c>
      <c r="D471" s="15" t="n"/>
      <c r="E471" s="17" t="inlineStr"/>
      <c r="F471" s="30" t="inlineStr">
        <is>
          <t>الهدف 5</t>
        </is>
      </c>
      <c r="G471" s="4" t="n"/>
    </row>
    <row r="472" ht="30" customHeight="1">
      <c r="B472" s="15" t="n">
        <v>13</v>
      </c>
      <c r="C472" s="17" t="inlineStr">
        <is>
          <t>هل تم الالتزام بمصفوفة الصلاحيات التشغيلية والحوكمة واتباعها؟</t>
        </is>
      </c>
      <c r="D472" s="15" t="n"/>
      <c r="E472" s="17" t="inlineStr"/>
      <c r="F472" s="30" t="inlineStr">
        <is>
          <t>الهدف 1</t>
        </is>
      </c>
      <c r="G472" s="4" t="n"/>
    </row>
    <row r="474">
      <c r="B474" s="28" t="inlineStr">
        <is>
          <t>المشروع: مشروع بناء قدرات تحليل البيانات وتشغيلها لبرنامج الضمان الصحي وشراء الخدمات</t>
        </is>
      </c>
      <c r="C474" s="4" t="n"/>
      <c r="D474" s="4" t="n"/>
      <c r="E474" s="4" t="n"/>
      <c r="F474" s="29" t="inlineStr">
        <is>
          <t>المحفظة: التقنية والذكاء الاصطناعي</t>
        </is>
      </c>
      <c r="G474" s="4" t="n"/>
    </row>
    <row r="475">
      <c r="B475" s="9" t="inlineStr">
        <is>
          <t>#</t>
        </is>
      </c>
      <c r="C475" s="9" t="inlineStr">
        <is>
          <t>المهمة</t>
        </is>
      </c>
      <c r="D475" s="9" t="inlineStr">
        <is>
          <t>الحالة</t>
        </is>
      </c>
      <c r="E475" s="9" t="inlineStr">
        <is>
          <t>الملاحظات</t>
        </is>
      </c>
      <c r="F475" s="9" t="inlineStr">
        <is>
          <t>ارتباط بالهدف</t>
        </is>
      </c>
      <c r="G475" s="9" t="inlineStr">
        <is>
          <t>حالة المشروع</t>
        </is>
      </c>
    </row>
    <row r="476" ht="30" customHeight="1">
      <c r="B476" s="15" t="n">
        <v>1</v>
      </c>
      <c r="C476" s="17" t="inlineStr">
        <is>
          <t>هل تم تحديث الأنظمة والمنصات المتعلقة بالمشاريع؟</t>
        </is>
      </c>
      <c r="D476" s="15" t="n"/>
      <c r="E476" s="17" t="inlineStr"/>
      <c r="F476" s="30" t="inlineStr">
        <is>
          <t>الهدف 1</t>
        </is>
      </c>
      <c r="G476" s="16">
        <f>IF(COUNTIF(D476:D488,"نعم")=COUNTA(D476:D488),"مكتمل ومغلق",IF(COUNTA(D476:D488)=0,"لم يبدأ","جاري العمل عليه"))</f>
        <v/>
      </c>
    </row>
    <row r="477" ht="30" customHeight="1">
      <c r="B477" s="15" t="n">
        <v>2</v>
      </c>
      <c r="C477" s="17" t="inlineStr">
        <is>
          <t>هل تم تحديث الخطة التفصيلية للمشروع؟</t>
        </is>
      </c>
      <c r="D477" s="15" t="n"/>
      <c r="E477" s="17" t="inlineStr"/>
      <c r="F477" s="30" t="inlineStr">
        <is>
          <t>الهدف 1</t>
        </is>
      </c>
      <c r="G477" s="4" t="n"/>
    </row>
    <row r="478" ht="30" customHeight="1">
      <c r="B478" s="15" t="n">
        <v>3</v>
      </c>
      <c r="C478" s="17" t="inlineStr">
        <is>
          <t>هل تم حل التحديات والمخاطر؟</t>
        </is>
      </c>
      <c r="D478" s="15" t="n"/>
      <c r="E478" s="17" t="inlineStr"/>
      <c r="F478" s="30" t="inlineStr">
        <is>
          <t>الهدف 3</t>
        </is>
      </c>
      <c r="G478" s="4" t="n"/>
    </row>
    <row r="479" ht="30" customHeight="1">
      <c r="B479" s="15" t="n">
        <v>4</v>
      </c>
      <c r="C479" s="17" t="inlineStr">
        <is>
          <t>هل تم متابعة وإغلاق أوامر التغيير؟</t>
        </is>
      </c>
      <c r="D479" s="15" t="n"/>
      <c r="E479" s="17" t="inlineStr"/>
      <c r="F479" s="30" t="inlineStr">
        <is>
          <t>الهدف 3</t>
        </is>
      </c>
      <c r="G479" s="4" t="n"/>
    </row>
    <row r="480" ht="30" customHeight="1">
      <c r="B480" s="15" t="n">
        <v>5</v>
      </c>
      <c r="C480" s="17" t="inlineStr">
        <is>
          <t>هل تم إرسال تقرير أسبوعي لمالك المحفظة؟</t>
        </is>
      </c>
      <c r="D480" s="15" t="n"/>
      <c r="E480" s="17" t="inlineStr"/>
      <c r="F480" s="30" t="inlineStr">
        <is>
          <t>الهدف 4</t>
        </is>
      </c>
      <c r="G480" s="4" t="n"/>
    </row>
    <row r="481" ht="30" customHeight="1">
      <c r="B481" s="15" t="n">
        <v>6</v>
      </c>
      <c r="C481" s="17" t="inlineStr">
        <is>
          <t>هل تم التنبيه بثلاث أسابيع بحلول قرب تسليم المخرجات؟</t>
        </is>
      </c>
      <c r="D481" s="15" t="n"/>
      <c r="E481" s="17" t="inlineStr"/>
      <c r="F481" s="30" t="inlineStr">
        <is>
          <t>الهدف 1</t>
        </is>
      </c>
      <c r="G481" s="4" t="n"/>
    </row>
    <row r="482" ht="30" customHeight="1">
      <c r="B482" s="15" t="n">
        <v>7</v>
      </c>
      <c r="C482" s="17" t="inlineStr">
        <is>
          <t>هل تم متابعة تسليم المخرجات؟</t>
        </is>
      </c>
      <c r="D482" s="15" t="n"/>
      <c r="E482" s="17" t="inlineStr"/>
      <c r="F482" s="30" t="inlineStr">
        <is>
          <t>الهدف 1</t>
        </is>
      </c>
      <c r="G482" s="4" t="n"/>
    </row>
    <row r="483" ht="30" customHeight="1">
      <c r="B483" s="15" t="n">
        <v>8</v>
      </c>
      <c r="C483" s="17" t="inlineStr">
        <is>
          <t>هل تم تحديث الخطة المالية الرئيسية؟</t>
        </is>
      </c>
      <c r="D483" s="15" t="n"/>
      <c r="E483" s="17" t="inlineStr"/>
      <c r="F483" s="30" t="inlineStr">
        <is>
          <t>الهدف 2</t>
        </is>
      </c>
      <c r="G483" s="4" t="n"/>
    </row>
    <row r="484" ht="30" customHeight="1">
      <c r="B484" s="15" t="n">
        <v>9</v>
      </c>
      <c r="C484" s="17" t="inlineStr">
        <is>
          <t>هل تم تصدير شهادات الإنجاز للمالية؟</t>
        </is>
      </c>
      <c r="D484" s="15" t="n"/>
      <c r="E484" s="17" t="inlineStr"/>
      <c r="F484" s="30" t="inlineStr">
        <is>
          <t>الهدف 2</t>
        </is>
      </c>
      <c r="G484" s="4" t="n"/>
    </row>
    <row r="485" ht="30" customHeight="1">
      <c r="B485" s="15" t="n">
        <v>10</v>
      </c>
      <c r="C485" s="17" t="inlineStr">
        <is>
          <t>هل تم متابعة وتحديث المشاريع التشغيلية؟</t>
        </is>
      </c>
      <c r="D485" s="15" t="n"/>
      <c r="E485" s="17" t="inlineStr"/>
      <c r="F485" s="30" t="inlineStr">
        <is>
          <t>الهدف 1</t>
        </is>
      </c>
      <c r="G485" s="4" t="n"/>
    </row>
    <row r="486" ht="30" customHeight="1">
      <c r="B486" s="15" t="n">
        <v>11</v>
      </c>
      <c r="C486" s="17" t="inlineStr">
        <is>
          <t>هل تم رفع جميع الوثائق في نظام ميسر؟</t>
        </is>
      </c>
      <c r="D486" s="15" t="n"/>
      <c r="E486" s="17" t="inlineStr"/>
      <c r="F486" s="30" t="inlineStr">
        <is>
          <t>الهدف 1</t>
        </is>
      </c>
      <c r="G486" s="4" t="n"/>
    </row>
    <row r="487" ht="30" customHeight="1">
      <c r="B487" s="15" t="n">
        <v>12</v>
      </c>
      <c r="C487" s="17" t="inlineStr">
        <is>
          <t>هل يوجد مبادرات وإنجازات تم العمل عليها خلال هذا الأسبوع؟</t>
        </is>
      </c>
      <c r="D487" s="15" t="n"/>
      <c r="E487" s="17" t="inlineStr"/>
      <c r="F487" s="30" t="inlineStr">
        <is>
          <t>الهدف 5</t>
        </is>
      </c>
      <c r="G487" s="4" t="n"/>
    </row>
    <row r="488" ht="30" customHeight="1">
      <c r="B488" s="15" t="n">
        <v>13</v>
      </c>
      <c r="C488" s="17" t="inlineStr">
        <is>
          <t>هل تم الالتزام بمصفوفة الصلاحيات التشغيلية والحوكمة واتباعها؟</t>
        </is>
      </c>
      <c r="D488" s="15" t="n"/>
      <c r="E488" s="17" t="inlineStr"/>
      <c r="F488" s="30" t="inlineStr">
        <is>
          <t>الهدف 1</t>
        </is>
      </c>
      <c r="G488" s="4" t="n"/>
    </row>
    <row r="491">
      <c r="B491" s="23" t="inlineStr">
        <is>
          <t>الموظف: مشعل محمد</t>
        </is>
      </c>
      <c r="C491" s="4" t="n"/>
      <c r="D491" s="4" t="n"/>
      <c r="E491" s="4" t="n"/>
      <c r="F491" s="4" t="n"/>
      <c r="G491" s="4" t="n"/>
    </row>
    <row r="492">
      <c r="B492" s="28" t="inlineStr">
        <is>
          <t>المشروع: خدمات الصيانة والتشغيل لمركز التأمين الصحي الوطني</t>
        </is>
      </c>
      <c r="C492" s="4" t="n"/>
      <c r="D492" s="4" t="n"/>
      <c r="E492" s="4" t="n"/>
      <c r="F492" s="29" t="inlineStr">
        <is>
          <t>المحفظة: الموارد البشرية</t>
        </is>
      </c>
      <c r="G492" s="4" t="n"/>
    </row>
    <row r="493">
      <c r="B493" s="9" t="inlineStr">
        <is>
          <t>#</t>
        </is>
      </c>
      <c r="C493" s="9" t="inlineStr">
        <is>
          <t>المهمة</t>
        </is>
      </c>
      <c r="D493" s="9" t="inlineStr">
        <is>
          <t>الحالة</t>
        </is>
      </c>
      <c r="E493" s="9" t="inlineStr">
        <is>
          <t>الملاحظات</t>
        </is>
      </c>
      <c r="F493" s="9" t="inlineStr">
        <is>
          <t>ارتباط بالهدف</t>
        </is>
      </c>
      <c r="G493" s="9" t="inlineStr">
        <is>
          <t>حالة المشروع</t>
        </is>
      </c>
    </row>
    <row r="494" ht="30" customHeight="1">
      <c r="B494" s="15" t="n">
        <v>1</v>
      </c>
      <c r="C494" s="17" t="inlineStr">
        <is>
          <t>هل تم تحديث الأنظمة والمنصات المتعلقة بالمشاريع؟</t>
        </is>
      </c>
      <c r="D494" s="15" t="n"/>
      <c r="E494" s="17" t="inlineStr"/>
      <c r="F494" s="30" t="inlineStr">
        <is>
          <t>الهدف 1</t>
        </is>
      </c>
      <c r="G494" s="16">
        <f>IF(COUNTIF(D494:D506,"نعم")=COUNTA(D494:D506),"مكتمل ومغلق",IF(COUNTA(D494:D506)=0,"لم يبدأ","جاري العمل عليه"))</f>
        <v/>
      </c>
    </row>
    <row r="495" ht="30" customHeight="1">
      <c r="B495" s="15" t="n">
        <v>2</v>
      </c>
      <c r="C495" s="17" t="inlineStr">
        <is>
          <t>هل تم تحديث الخطة التفصيلية للمشروع؟</t>
        </is>
      </c>
      <c r="D495" s="15" t="n"/>
      <c r="E495" s="17" t="inlineStr"/>
      <c r="F495" s="30" t="inlineStr">
        <is>
          <t>الهدف 1</t>
        </is>
      </c>
      <c r="G495" s="4" t="n"/>
    </row>
    <row r="496" ht="30" customHeight="1">
      <c r="B496" s="15" t="n">
        <v>3</v>
      </c>
      <c r="C496" s="17" t="inlineStr">
        <is>
          <t>هل تم حل التحديات والمخاطر؟</t>
        </is>
      </c>
      <c r="D496" s="15" t="n"/>
      <c r="E496" s="17" t="inlineStr"/>
      <c r="F496" s="30" t="inlineStr">
        <is>
          <t>الهدف 3</t>
        </is>
      </c>
      <c r="G496" s="4" t="n"/>
    </row>
    <row r="497" ht="30" customHeight="1">
      <c r="B497" s="15" t="n">
        <v>4</v>
      </c>
      <c r="C497" s="17" t="inlineStr">
        <is>
          <t>هل تم متابعة وإغلاق أوامر التغيير؟</t>
        </is>
      </c>
      <c r="D497" s="15" t="n"/>
      <c r="E497" s="17" t="inlineStr"/>
      <c r="F497" s="30" t="inlineStr">
        <is>
          <t>الهدف 3</t>
        </is>
      </c>
      <c r="G497" s="4" t="n"/>
    </row>
    <row r="498" ht="30" customHeight="1">
      <c r="B498" s="15" t="n">
        <v>5</v>
      </c>
      <c r="C498" s="17" t="inlineStr">
        <is>
          <t>هل تم إرسال تقرير أسبوعي لمالك المحفظة؟</t>
        </is>
      </c>
      <c r="D498" s="15" t="n"/>
      <c r="E498" s="17" t="inlineStr"/>
      <c r="F498" s="30" t="inlineStr">
        <is>
          <t>الهدف 4</t>
        </is>
      </c>
      <c r="G498" s="4" t="n"/>
    </row>
    <row r="499" ht="30" customHeight="1">
      <c r="B499" s="15" t="n">
        <v>6</v>
      </c>
      <c r="C499" s="17" t="inlineStr">
        <is>
          <t>هل تم التنبيه بثلاث أسابيع بحلول قرب تسليم المخرجات؟</t>
        </is>
      </c>
      <c r="D499" s="15" t="n"/>
      <c r="E499" s="17" t="inlineStr"/>
      <c r="F499" s="30" t="inlineStr">
        <is>
          <t>الهدف 1</t>
        </is>
      </c>
      <c r="G499" s="4" t="n"/>
    </row>
    <row r="500" ht="30" customHeight="1">
      <c r="B500" s="15" t="n">
        <v>7</v>
      </c>
      <c r="C500" s="17" t="inlineStr">
        <is>
          <t>هل تم متابعة تسليم المخرجات؟</t>
        </is>
      </c>
      <c r="D500" s="15" t="n"/>
      <c r="E500" s="17" t="inlineStr"/>
      <c r="F500" s="30" t="inlineStr">
        <is>
          <t>الهدف 1</t>
        </is>
      </c>
      <c r="G500" s="4" t="n"/>
    </row>
    <row r="501" ht="30" customHeight="1">
      <c r="B501" s="15" t="n">
        <v>8</v>
      </c>
      <c r="C501" s="17" t="inlineStr">
        <is>
          <t>هل تم تحديث الخطة المالية الرئيسية؟</t>
        </is>
      </c>
      <c r="D501" s="15" t="n"/>
      <c r="E501" s="17" t="inlineStr"/>
      <c r="F501" s="30" t="inlineStr">
        <is>
          <t>الهدف 2</t>
        </is>
      </c>
      <c r="G501" s="4" t="n"/>
    </row>
    <row r="502" ht="30" customHeight="1">
      <c r="B502" s="15" t="n">
        <v>9</v>
      </c>
      <c r="C502" s="17" t="inlineStr">
        <is>
          <t>هل تم تصدير شهادات الإنجاز للمالية؟</t>
        </is>
      </c>
      <c r="D502" s="15" t="n"/>
      <c r="E502" s="17" t="inlineStr"/>
      <c r="F502" s="30" t="inlineStr">
        <is>
          <t>الهدف 2</t>
        </is>
      </c>
      <c r="G502" s="4" t="n"/>
    </row>
    <row r="503" ht="30" customHeight="1">
      <c r="B503" s="15" t="n">
        <v>10</v>
      </c>
      <c r="C503" s="17" t="inlineStr">
        <is>
          <t>هل تم متابعة وتحديث المشاريع التشغيلية؟</t>
        </is>
      </c>
      <c r="D503" s="15" t="n"/>
      <c r="E503" s="17" t="inlineStr"/>
      <c r="F503" s="30" t="inlineStr">
        <is>
          <t>الهدف 1</t>
        </is>
      </c>
      <c r="G503" s="4" t="n"/>
    </row>
    <row r="504" ht="30" customHeight="1">
      <c r="B504" s="15" t="n">
        <v>11</v>
      </c>
      <c r="C504" s="17" t="inlineStr">
        <is>
          <t>هل تم رفع جميع الوثائق في نظام ميسر؟</t>
        </is>
      </c>
      <c r="D504" s="15" t="n"/>
      <c r="E504" s="17" t="inlineStr"/>
      <c r="F504" s="30" t="inlineStr">
        <is>
          <t>الهدف 1</t>
        </is>
      </c>
      <c r="G504" s="4" t="n"/>
    </row>
    <row r="505" ht="30" customHeight="1">
      <c r="B505" s="15" t="n">
        <v>12</v>
      </c>
      <c r="C505" s="17" t="inlineStr">
        <is>
          <t>هل يوجد مبادرات وإنجازات تم العمل عليها خلال هذا الأسبوع؟</t>
        </is>
      </c>
      <c r="D505" s="15" t="n"/>
      <c r="E505" s="17" t="inlineStr"/>
      <c r="F505" s="30" t="inlineStr">
        <is>
          <t>الهدف 5</t>
        </is>
      </c>
      <c r="G505" s="4" t="n"/>
    </row>
    <row r="506" ht="30" customHeight="1">
      <c r="B506" s="15" t="n">
        <v>13</v>
      </c>
      <c r="C506" s="17" t="inlineStr">
        <is>
          <t>هل تم الالتزام بمصفوفة الصلاحيات التشغيلية والحوكمة واتباعها؟</t>
        </is>
      </c>
      <c r="D506" s="15" t="n"/>
      <c r="E506" s="17" t="inlineStr"/>
      <c r="F506" s="30" t="inlineStr">
        <is>
          <t>الهدف 1</t>
        </is>
      </c>
      <c r="G506" s="4" t="n"/>
    </row>
    <row r="508">
      <c r="B508" s="28" t="inlineStr">
        <is>
          <t>المشروع: تقديم الخدمات الاستشارية والدعم المساند لعمليات التشغيل لمركز التأمين الصحي الوطني</t>
        </is>
      </c>
      <c r="C508" s="4" t="n"/>
      <c r="D508" s="4" t="n"/>
      <c r="E508" s="4" t="n"/>
      <c r="F508" s="29" t="inlineStr">
        <is>
          <t>المحفظة: الموارد البشرية</t>
        </is>
      </c>
      <c r="G508" s="4" t="n"/>
    </row>
    <row r="509">
      <c r="B509" s="9" t="inlineStr">
        <is>
          <t>#</t>
        </is>
      </c>
      <c r="C509" s="9" t="inlineStr">
        <is>
          <t>المهمة</t>
        </is>
      </c>
      <c r="D509" s="9" t="inlineStr">
        <is>
          <t>الحالة</t>
        </is>
      </c>
      <c r="E509" s="9" t="inlineStr">
        <is>
          <t>الملاحظات</t>
        </is>
      </c>
      <c r="F509" s="9" t="inlineStr">
        <is>
          <t>ارتباط بالهدف</t>
        </is>
      </c>
      <c r="G509" s="9" t="inlineStr">
        <is>
          <t>حالة المشروع</t>
        </is>
      </c>
    </row>
    <row r="510" ht="30" customHeight="1">
      <c r="B510" s="15" t="n">
        <v>1</v>
      </c>
      <c r="C510" s="17" t="inlineStr">
        <is>
          <t>هل تم تحديث الأنظمة والمنصات المتعلقة بالمشاريع؟</t>
        </is>
      </c>
      <c r="D510" s="15" t="n"/>
      <c r="E510" s="17" t="inlineStr"/>
      <c r="F510" s="30" t="inlineStr">
        <is>
          <t>الهدف 1</t>
        </is>
      </c>
      <c r="G510" s="16">
        <f>IF(COUNTIF(D510:D522,"نعم")=COUNTA(D510:D522),"مكتمل ومغلق",IF(COUNTA(D510:D522)=0,"لم يبدأ","جاري العمل عليه"))</f>
        <v/>
      </c>
    </row>
    <row r="511" ht="30" customHeight="1">
      <c r="B511" s="15" t="n">
        <v>2</v>
      </c>
      <c r="C511" s="17" t="inlineStr">
        <is>
          <t>هل تم تحديث الخطة التفصيلية للمشروع؟</t>
        </is>
      </c>
      <c r="D511" s="15" t="n"/>
      <c r="E511" s="17" t="inlineStr"/>
      <c r="F511" s="30" t="inlineStr">
        <is>
          <t>الهدف 1</t>
        </is>
      </c>
      <c r="G511" s="4" t="n"/>
    </row>
    <row r="512" ht="30" customHeight="1">
      <c r="B512" s="15" t="n">
        <v>3</v>
      </c>
      <c r="C512" s="17" t="inlineStr">
        <is>
          <t>هل تم حل التحديات والمخاطر؟</t>
        </is>
      </c>
      <c r="D512" s="15" t="n"/>
      <c r="E512" s="17" t="inlineStr"/>
      <c r="F512" s="30" t="inlineStr">
        <is>
          <t>الهدف 3</t>
        </is>
      </c>
      <c r="G512" s="4" t="n"/>
    </row>
    <row r="513" ht="30" customHeight="1">
      <c r="B513" s="15" t="n">
        <v>4</v>
      </c>
      <c r="C513" s="17" t="inlineStr">
        <is>
          <t>هل تم متابعة وإغلاق أوامر التغيير؟</t>
        </is>
      </c>
      <c r="D513" s="15" t="n"/>
      <c r="E513" s="17" t="inlineStr"/>
      <c r="F513" s="30" t="inlineStr">
        <is>
          <t>الهدف 3</t>
        </is>
      </c>
      <c r="G513" s="4" t="n"/>
    </row>
    <row r="514" ht="30" customHeight="1">
      <c r="B514" s="15" t="n">
        <v>5</v>
      </c>
      <c r="C514" s="17" t="inlineStr">
        <is>
          <t>هل تم إرسال تقرير أسبوعي لمالك المحفظة؟</t>
        </is>
      </c>
      <c r="D514" s="15" t="n"/>
      <c r="E514" s="17" t="inlineStr"/>
      <c r="F514" s="30" t="inlineStr">
        <is>
          <t>الهدف 4</t>
        </is>
      </c>
      <c r="G514" s="4" t="n"/>
    </row>
    <row r="515" ht="30" customHeight="1">
      <c r="B515" s="15" t="n">
        <v>6</v>
      </c>
      <c r="C515" s="17" t="inlineStr">
        <is>
          <t>هل تم التنبيه بثلاث أسابيع بحلول قرب تسليم المخرجات؟</t>
        </is>
      </c>
      <c r="D515" s="15" t="n"/>
      <c r="E515" s="17" t="inlineStr"/>
      <c r="F515" s="30" t="inlineStr">
        <is>
          <t>الهدف 1</t>
        </is>
      </c>
      <c r="G515" s="4" t="n"/>
    </row>
    <row r="516" ht="30" customHeight="1">
      <c r="B516" s="15" t="n">
        <v>7</v>
      </c>
      <c r="C516" s="17" t="inlineStr">
        <is>
          <t>هل تم متابعة تسليم المخرجات؟</t>
        </is>
      </c>
      <c r="D516" s="15" t="n"/>
      <c r="E516" s="17" t="inlineStr"/>
      <c r="F516" s="30" t="inlineStr">
        <is>
          <t>الهدف 1</t>
        </is>
      </c>
      <c r="G516" s="4" t="n"/>
    </row>
    <row r="517" ht="30" customHeight="1">
      <c r="B517" s="15" t="n">
        <v>8</v>
      </c>
      <c r="C517" s="17" t="inlineStr">
        <is>
          <t>هل تم تحديث الخطة المالية الرئيسية؟</t>
        </is>
      </c>
      <c r="D517" s="15" t="n"/>
      <c r="E517" s="17" t="inlineStr"/>
      <c r="F517" s="30" t="inlineStr">
        <is>
          <t>الهدف 2</t>
        </is>
      </c>
      <c r="G517" s="4" t="n"/>
    </row>
    <row r="518" ht="30" customHeight="1">
      <c r="B518" s="15" t="n">
        <v>9</v>
      </c>
      <c r="C518" s="17" t="inlineStr">
        <is>
          <t>هل تم تصدير شهادات الإنجاز للمالية؟</t>
        </is>
      </c>
      <c r="D518" s="15" t="n"/>
      <c r="E518" s="17" t="inlineStr"/>
      <c r="F518" s="30" t="inlineStr">
        <is>
          <t>الهدف 2</t>
        </is>
      </c>
      <c r="G518" s="4" t="n"/>
    </row>
    <row r="519" ht="30" customHeight="1">
      <c r="B519" s="15" t="n">
        <v>10</v>
      </c>
      <c r="C519" s="17" t="inlineStr">
        <is>
          <t>هل تم متابعة وتحديث المشاريع التشغيلية؟</t>
        </is>
      </c>
      <c r="D519" s="15" t="n"/>
      <c r="E519" s="17" t="inlineStr"/>
      <c r="F519" s="30" t="inlineStr">
        <is>
          <t>الهدف 1</t>
        </is>
      </c>
      <c r="G519" s="4" t="n"/>
    </row>
    <row r="520" ht="30" customHeight="1">
      <c r="B520" s="15" t="n">
        <v>11</v>
      </c>
      <c r="C520" s="17" t="inlineStr">
        <is>
          <t>هل تم رفع جميع الوثائق في نظام ميسر؟</t>
        </is>
      </c>
      <c r="D520" s="15" t="n"/>
      <c r="E520" s="17" t="inlineStr"/>
      <c r="F520" s="30" t="inlineStr">
        <is>
          <t>الهدف 1</t>
        </is>
      </c>
      <c r="G520" s="4" t="n"/>
    </row>
    <row r="521" ht="30" customHeight="1">
      <c r="B521" s="15" t="n">
        <v>12</v>
      </c>
      <c r="C521" s="17" t="inlineStr">
        <is>
          <t>هل يوجد مبادرات وإنجازات تم العمل عليها خلال هذا الأسبوع؟</t>
        </is>
      </c>
      <c r="D521" s="15" t="n"/>
      <c r="E521" s="17" t="inlineStr"/>
      <c r="F521" s="30" t="inlineStr">
        <is>
          <t>الهدف 5</t>
        </is>
      </c>
      <c r="G521" s="4" t="n"/>
    </row>
    <row r="522" ht="30" customHeight="1">
      <c r="B522" s="15" t="n">
        <v>13</v>
      </c>
      <c r="C522" s="17" t="inlineStr">
        <is>
          <t>هل تم الالتزام بمصفوفة الصلاحيات التشغيلية والحوكمة واتباعها؟</t>
        </is>
      </c>
      <c r="D522" s="15" t="n"/>
      <c r="E522" s="17" t="inlineStr"/>
      <c r="F522" s="30" t="inlineStr">
        <is>
          <t>الهدف 1</t>
        </is>
      </c>
      <c r="G522" s="4" t="n"/>
    </row>
    <row r="524">
      <c r="B524" s="28" t="inlineStr">
        <is>
          <t>المشروع: مشروع تفعيل أدوار مركز التأمين الصحي الوطني في المنظومة الصحية المرحلة الأولى</t>
        </is>
      </c>
      <c r="C524" s="4" t="n"/>
      <c r="D524" s="4" t="n"/>
      <c r="E524" s="4" t="n"/>
      <c r="F524" s="29" t="inlineStr">
        <is>
          <t>المحفظة: الموارد البشرية</t>
        </is>
      </c>
      <c r="G524" s="4" t="n"/>
    </row>
    <row r="525">
      <c r="B525" s="9" t="inlineStr">
        <is>
          <t>#</t>
        </is>
      </c>
      <c r="C525" s="9" t="inlineStr">
        <is>
          <t>المهمة</t>
        </is>
      </c>
      <c r="D525" s="9" t="inlineStr">
        <is>
          <t>الحالة</t>
        </is>
      </c>
      <c r="E525" s="9" t="inlineStr">
        <is>
          <t>الملاحظات</t>
        </is>
      </c>
      <c r="F525" s="9" t="inlineStr">
        <is>
          <t>ارتباط بالهدف</t>
        </is>
      </c>
      <c r="G525" s="9" t="inlineStr">
        <is>
          <t>حالة المشروع</t>
        </is>
      </c>
    </row>
    <row r="526" ht="30" customHeight="1">
      <c r="B526" s="15" t="n">
        <v>1</v>
      </c>
      <c r="C526" s="17" t="inlineStr">
        <is>
          <t>هل تم تحديث الأنظمة والمنصات المتعلقة بالمشاريع؟</t>
        </is>
      </c>
      <c r="D526" s="15" t="n"/>
      <c r="E526" s="17" t="inlineStr"/>
      <c r="F526" s="30" t="inlineStr">
        <is>
          <t>الهدف 1</t>
        </is>
      </c>
      <c r="G526" s="16">
        <f>IF(COUNTIF(D526:D538,"نعم")=COUNTA(D526:D538),"مكتمل ومغلق",IF(COUNTA(D526:D538)=0,"لم يبدأ","جاري العمل عليه"))</f>
        <v/>
      </c>
    </row>
    <row r="527" ht="30" customHeight="1">
      <c r="B527" s="15" t="n">
        <v>2</v>
      </c>
      <c r="C527" s="17" t="inlineStr">
        <is>
          <t>هل تم تحديث الخطة التفصيلية للمشروع؟</t>
        </is>
      </c>
      <c r="D527" s="15" t="n"/>
      <c r="E527" s="17" t="inlineStr"/>
      <c r="F527" s="30" t="inlineStr">
        <is>
          <t>الهدف 1</t>
        </is>
      </c>
      <c r="G527" s="4" t="n"/>
    </row>
    <row r="528" ht="30" customHeight="1">
      <c r="B528" s="15" t="n">
        <v>3</v>
      </c>
      <c r="C528" s="17" t="inlineStr">
        <is>
          <t>هل تم حل التحديات والمخاطر؟</t>
        </is>
      </c>
      <c r="D528" s="15" t="n"/>
      <c r="E528" s="17" t="inlineStr"/>
      <c r="F528" s="30" t="inlineStr">
        <is>
          <t>الهدف 3</t>
        </is>
      </c>
      <c r="G528" s="4" t="n"/>
    </row>
    <row r="529" ht="30" customHeight="1">
      <c r="B529" s="15" t="n">
        <v>4</v>
      </c>
      <c r="C529" s="17" t="inlineStr">
        <is>
          <t>هل تم متابعة وإغلاق أوامر التغيير؟</t>
        </is>
      </c>
      <c r="D529" s="15" t="n"/>
      <c r="E529" s="17" t="inlineStr"/>
      <c r="F529" s="30" t="inlineStr">
        <is>
          <t>الهدف 3</t>
        </is>
      </c>
      <c r="G529" s="4" t="n"/>
    </row>
    <row r="530" ht="30" customHeight="1">
      <c r="B530" s="15" t="n">
        <v>5</v>
      </c>
      <c r="C530" s="17" t="inlineStr">
        <is>
          <t>هل تم إرسال تقرير أسبوعي لمالك المحفظة؟</t>
        </is>
      </c>
      <c r="D530" s="15" t="n"/>
      <c r="E530" s="17" t="inlineStr"/>
      <c r="F530" s="30" t="inlineStr">
        <is>
          <t>الهدف 4</t>
        </is>
      </c>
      <c r="G530" s="4" t="n"/>
    </row>
    <row r="531" ht="30" customHeight="1">
      <c r="B531" s="15" t="n">
        <v>6</v>
      </c>
      <c r="C531" s="17" t="inlineStr">
        <is>
          <t>هل تم التنبيه بثلاث أسابيع بحلول قرب تسليم المخرجات؟</t>
        </is>
      </c>
      <c r="D531" s="15" t="n"/>
      <c r="E531" s="17" t="inlineStr"/>
      <c r="F531" s="30" t="inlineStr">
        <is>
          <t>الهدف 1</t>
        </is>
      </c>
      <c r="G531" s="4" t="n"/>
    </row>
    <row r="532" ht="30" customHeight="1">
      <c r="B532" s="15" t="n">
        <v>7</v>
      </c>
      <c r="C532" s="17" t="inlineStr">
        <is>
          <t>هل تم متابعة تسليم المخرجات؟</t>
        </is>
      </c>
      <c r="D532" s="15" t="n"/>
      <c r="E532" s="17" t="inlineStr"/>
      <c r="F532" s="30" t="inlineStr">
        <is>
          <t>الهدف 1</t>
        </is>
      </c>
      <c r="G532" s="4" t="n"/>
    </row>
    <row r="533" ht="30" customHeight="1">
      <c r="B533" s="15" t="n">
        <v>8</v>
      </c>
      <c r="C533" s="17" t="inlineStr">
        <is>
          <t>هل تم تحديث الخطة المالية الرئيسية؟</t>
        </is>
      </c>
      <c r="D533" s="15" t="n"/>
      <c r="E533" s="17" t="inlineStr"/>
      <c r="F533" s="30" t="inlineStr">
        <is>
          <t>الهدف 2</t>
        </is>
      </c>
      <c r="G533" s="4" t="n"/>
    </row>
    <row r="534" ht="30" customHeight="1">
      <c r="B534" s="15" t="n">
        <v>9</v>
      </c>
      <c r="C534" s="17" t="inlineStr">
        <is>
          <t>هل تم تصدير شهادات الإنجاز للمالية؟</t>
        </is>
      </c>
      <c r="D534" s="15" t="n"/>
      <c r="E534" s="17" t="inlineStr"/>
      <c r="F534" s="30" t="inlineStr">
        <is>
          <t>الهدف 2</t>
        </is>
      </c>
      <c r="G534" s="4" t="n"/>
    </row>
    <row r="535" ht="30" customHeight="1">
      <c r="B535" s="15" t="n">
        <v>10</v>
      </c>
      <c r="C535" s="17" t="inlineStr">
        <is>
          <t>هل تم متابعة وتحديث المشاريع التشغيلية؟</t>
        </is>
      </c>
      <c r="D535" s="15" t="n"/>
      <c r="E535" s="17" t="inlineStr"/>
      <c r="F535" s="30" t="inlineStr">
        <is>
          <t>الهدف 1</t>
        </is>
      </c>
      <c r="G535" s="4" t="n"/>
    </row>
    <row r="536" ht="30" customHeight="1">
      <c r="B536" s="15" t="n">
        <v>11</v>
      </c>
      <c r="C536" s="17" t="inlineStr">
        <is>
          <t>هل تم رفع جميع الوثائق في نظام ميسر؟</t>
        </is>
      </c>
      <c r="D536" s="15" t="n"/>
      <c r="E536" s="17" t="inlineStr"/>
      <c r="F536" s="30" t="inlineStr">
        <is>
          <t>الهدف 1</t>
        </is>
      </c>
      <c r="G536" s="4" t="n"/>
    </row>
    <row r="537" ht="30" customHeight="1">
      <c r="B537" s="15" t="n">
        <v>12</v>
      </c>
      <c r="C537" s="17" t="inlineStr">
        <is>
          <t>هل يوجد مبادرات وإنجازات تم العمل عليها خلال هذا الأسبوع؟</t>
        </is>
      </c>
      <c r="D537" s="15" t="n"/>
      <c r="E537" s="17" t="inlineStr"/>
      <c r="F537" s="30" t="inlineStr">
        <is>
          <t>الهدف 5</t>
        </is>
      </c>
      <c r="G537" s="4" t="n"/>
    </row>
    <row r="538" ht="30" customHeight="1">
      <c r="B538" s="15" t="n">
        <v>13</v>
      </c>
      <c r="C538" s="17" t="inlineStr">
        <is>
          <t>هل تم الالتزام بمصفوفة الصلاحيات التشغيلية والحوكمة واتباعها؟</t>
        </is>
      </c>
      <c r="D538" s="15" t="n"/>
      <c r="E538" s="17" t="inlineStr"/>
      <c r="F538" s="30" t="inlineStr">
        <is>
          <t>الهدف 1</t>
        </is>
      </c>
      <c r="G538" s="4" t="n"/>
    </row>
    <row r="540">
      <c r="B540" s="28" t="inlineStr">
        <is>
          <t>المشروع: الحوكمة ونموذج التشغيل والمخطط الرقمي</t>
        </is>
      </c>
      <c r="C540" s="4" t="n"/>
      <c r="D540" s="4" t="n"/>
      <c r="E540" s="4" t="n"/>
      <c r="F540" s="29" t="inlineStr">
        <is>
          <t>المحفظة: التواصل والعناية بالمستفيدين</t>
        </is>
      </c>
      <c r="G540" s="4" t="n"/>
    </row>
    <row r="541">
      <c r="B541" s="9" t="inlineStr">
        <is>
          <t>#</t>
        </is>
      </c>
      <c r="C541" s="9" t="inlineStr">
        <is>
          <t>المهمة</t>
        </is>
      </c>
      <c r="D541" s="9" t="inlineStr">
        <is>
          <t>الحالة</t>
        </is>
      </c>
      <c r="E541" s="9" t="inlineStr">
        <is>
          <t>الملاحظات</t>
        </is>
      </c>
      <c r="F541" s="9" t="inlineStr">
        <is>
          <t>ارتباط بالهدف</t>
        </is>
      </c>
      <c r="G541" s="9" t="inlineStr">
        <is>
          <t>حالة المشروع</t>
        </is>
      </c>
    </row>
    <row r="542" ht="30" customHeight="1">
      <c r="B542" s="15" t="n">
        <v>1</v>
      </c>
      <c r="C542" s="17" t="inlineStr">
        <is>
          <t>هل تم تحديث الأنظمة والمنصات المتعلقة بالمشاريع؟</t>
        </is>
      </c>
      <c r="D542" s="15" t="n"/>
      <c r="E542" s="17" t="inlineStr"/>
      <c r="F542" s="30" t="inlineStr">
        <is>
          <t>الهدف 1</t>
        </is>
      </c>
      <c r="G542" s="16">
        <f>IF(COUNTIF(D542:D554,"نعم")=COUNTA(D542:D554),"مكتمل ومغلق",IF(COUNTA(D542:D554)=0,"لم يبدأ","جاري العمل عليه"))</f>
        <v/>
      </c>
    </row>
    <row r="543" ht="30" customHeight="1">
      <c r="B543" s="15" t="n">
        <v>2</v>
      </c>
      <c r="C543" s="17" t="inlineStr">
        <is>
          <t>هل تم تحديث الخطة التفصيلية للمشروع؟</t>
        </is>
      </c>
      <c r="D543" s="15" t="n"/>
      <c r="E543" s="17" t="inlineStr"/>
      <c r="F543" s="30" t="inlineStr">
        <is>
          <t>الهدف 1</t>
        </is>
      </c>
      <c r="G543" s="4" t="n"/>
    </row>
    <row r="544" ht="30" customHeight="1">
      <c r="B544" s="15" t="n">
        <v>3</v>
      </c>
      <c r="C544" s="17" t="inlineStr">
        <is>
          <t>هل تم حل التحديات والمخاطر؟</t>
        </is>
      </c>
      <c r="D544" s="15" t="n"/>
      <c r="E544" s="17" t="inlineStr"/>
      <c r="F544" s="30" t="inlineStr">
        <is>
          <t>الهدف 3</t>
        </is>
      </c>
      <c r="G544" s="4" t="n"/>
    </row>
    <row r="545" ht="30" customHeight="1">
      <c r="B545" s="15" t="n">
        <v>4</v>
      </c>
      <c r="C545" s="17" t="inlineStr">
        <is>
          <t>هل تم متابعة وإغلاق أوامر التغيير؟</t>
        </is>
      </c>
      <c r="D545" s="15" t="n"/>
      <c r="E545" s="17" t="inlineStr"/>
      <c r="F545" s="30" t="inlineStr">
        <is>
          <t>الهدف 3</t>
        </is>
      </c>
      <c r="G545" s="4" t="n"/>
    </row>
    <row r="546" ht="30" customHeight="1">
      <c r="B546" s="15" t="n">
        <v>5</v>
      </c>
      <c r="C546" s="17" t="inlineStr">
        <is>
          <t>هل تم إرسال تقرير أسبوعي لمالك المحفظة؟</t>
        </is>
      </c>
      <c r="D546" s="15" t="n"/>
      <c r="E546" s="17" t="inlineStr"/>
      <c r="F546" s="30" t="inlineStr">
        <is>
          <t>الهدف 4</t>
        </is>
      </c>
      <c r="G546" s="4" t="n"/>
    </row>
    <row r="547" ht="30" customHeight="1">
      <c r="B547" s="15" t="n">
        <v>6</v>
      </c>
      <c r="C547" s="17" t="inlineStr">
        <is>
          <t>هل تم التنبيه بثلاث أسابيع بحلول قرب تسليم المخرجات؟</t>
        </is>
      </c>
      <c r="D547" s="15" t="n"/>
      <c r="E547" s="17" t="inlineStr"/>
      <c r="F547" s="30" t="inlineStr">
        <is>
          <t>الهدف 1</t>
        </is>
      </c>
      <c r="G547" s="4" t="n"/>
    </row>
    <row r="548" ht="30" customHeight="1">
      <c r="B548" s="15" t="n">
        <v>7</v>
      </c>
      <c r="C548" s="17" t="inlineStr">
        <is>
          <t>هل تم متابعة تسليم المخرجات؟</t>
        </is>
      </c>
      <c r="D548" s="15" t="n"/>
      <c r="E548" s="17" t="inlineStr"/>
      <c r="F548" s="30" t="inlineStr">
        <is>
          <t>الهدف 1</t>
        </is>
      </c>
      <c r="G548" s="4" t="n"/>
    </row>
    <row r="549" ht="30" customHeight="1">
      <c r="B549" s="15" t="n">
        <v>8</v>
      </c>
      <c r="C549" s="17" t="inlineStr">
        <is>
          <t>هل تم تحديث الخطة المالية الرئيسية؟</t>
        </is>
      </c>
      <c r="D549" s="15" t="n"/>
      <c r="E549" s="17" t="inlineStr"/>
      <c r="F549" s="30" t="inlineStr">
        <is>
          <t>الهدف 2</t>
        </is>
      </c>
      <c r="G549" s="4" t="n"/>
    </row>
    <row r="550" ht="30" customHeight="1">
      <c r="B550" s="15" t="n">
        <v>9</v>
      </c>
      <c r="C550" s="17" t="inlineStr">
        <is>
          <t>هل تم تصدير شهادات الإنجاز للمالية؟</t>
        </is>
      </c>
      <c r="D550" s="15" t="n"/>
      <c r="E550" s="17" t="inlineStr"/>
      <c r="F550" s="30" t="inlineStr">
        <is>
          <t>الهدف 2</t>
        </is>
      </c>
      <c r="G550" s="4" t="n"/>
    </row>
    <row r="551" ht="30" customHeight="1">
      <c r="B551" s="15" t="n">
        <v>10</v>
      </c>
      <c r="C551" s="17" t="inlineStr">
        <is>
          <t>هل تم متابعة وتحديث المشاريع التشغيلية؟</t>
        </is>
      </c>
      <c r="D551" s="15" t="n"/>
      <c r="E551" s="17" t="inlineStr"/>
      <c r="F551" s="30" t="inlineStr">
        <is>
          <t>الهدف 1</t>
        </is>
      </c>
      <c r="G551" s="4" t="n"/>
    </row>
    <row r="552" ht="30" customHeight="1">
      <c r="B552" s="15" t="n">
        <v>11</v>
      </c>
      <c r="C552" s="17" t="inlineStr">
        <is>
          <t>هل تم رفع جميع الوثائق في نظام ميسر؟</t>
        </is>
      </c>
      <c r="D552" s="15" t="n"/>
      <c r="E552" s="17" t="inlineStr"/>
      <c r="F552" s="30" t="inlineStr">
        <is>
          <t>الهدف 1</t>
        </is>
      </c>
      <c r="G552" s="4" t="n"/>
    </row>
    <row r="553" ht="30" customHeight="1">
      <c r="B553" s="15" t="n">
        <v>12</v>
      </c>
      <c r="C553" s="17" t="inlineStr">
        <is>
          <t>هل يوجد مبادرات وإنجازات تم العمل عليها خلال هذا الأسبوع؟</t>
        </is>
      </c>
      <c r="D553" s="15" t="n"/>
      <c r="E553" s="17" t="inlineStr"/>
      <c r="F553" s="30" t="inlineStr">
        <is>
          <t>الهدف 5</t>
        </is>
      </c>
      <c r="G553" s="4" t="n"/>
    </row>
    <row r="554" ht="30" customHeight="1">
      <c r="B554" s="15" t="n">
        <v>13</v>
      </c>
      <c r="C554" s="17" t="inlineStr">
        <is>
          <t>هل تم الالتزام بمصفوفة الصلاحيات التشغيلية والحوكمة واتباعها؟</t>
        </is>
      </c>
      <c r="D554" s="15" t="n"/>
      <c r="E554" s="17" t="inlineStr"/>
      <c r="F554" s="30" t="inlineStr">
        <is>
          <t>الهدف 1</t>
        </is>
      </c>
      <c r="G554" s="4" t="n"/>
    </row>
  </sheetData>
  <mergeCells count="108">
    <mergeCell ref="G396:G408"/>
    <mergeCell ref="F68:G68"/>
    <mergeCell ref="B68:E68"/>
    <mergeCell ref="F410:G410"/>
    <mergeCell ref="F84:G84"/>
    <mergeCell ref="F118:G118"/>
    <mergeCell ref="B36:E36"/>
    <mergeCell ref="F394:G394"/>
    <mergeCell ref="B100:E100"/>
    <mergeCell ref="F378:G378"/>
    <mergeCell ref="F458:G458"/>
    <mergeCell ref="B232:E232"/>
    <mergeCell ref="F134:G134"/>
    <mergeCell ref="B248:E248"/>
    <mergeCell ref="B524:E524"/>
    <mergeCell ref="B362:E362"/>
    <mergeCell ref="G22:G34"/>
    <mergeCell ref="B182:E182"/>
    <mergeCell ref="B215:G215"/>
    <mergeCell ref="F540:G540"/>
    <mergeCell ref="G86:G98"/>
    <mergeCell ref="B314:E314"/>
    <mergeCell ref="G542:G554"/>
    <mergeCell ref="B298:E298"/>
    <mergeCell ref="G136:G148"/>
    <mergeCell ref="G70:G82"/>
    <mergeCell ref="B426:E426"/>
    <mergeCell ref="B1:G1"/>
    <mergeCell ref="B266:E266"/>
    <mergeCell ref="G38:G50"/>
    <mergeCell ref="G348:G360"/>
    <mergeCell ref="G476:G488"/>
    <mergeCell ref="B330:E330"/>
    <mergeCell ref="G184:G196"/>
    <mergeCell ref="G460:G472"/>
    <mergeCell ref="F20:G20"/>
    <mergeCell ref="F198:G198"/>
    <mergeCell ref="F474:G474"/>
    <mergeCell ref="G284:G296"/>
    <mergeCell ref="G412:G424"/>
    <mergeCell ref="F150:G150"/>
    <mergeCell ref="G168:G180"/>
    <mergeCell ref="B3:G3"/>
    <mergeCell ref="B166:E166"/>
    <mergeCell ref="F346:G346"/>
    <mergeCell ref="F216:G216"/>
    <mergeCell ref="G102:G114"/>
    <mergeCell ref="G444:G456"/>
    <mergeCell ref="B410:E410"/>
    <mergeCell ref="B84:E84"/>
    <mergeCell ref="F4:G4"/>
    <mergeCell ref="B117:G117"/>
    <mergeCell ref="F266:G266"/>
    <mergeCell ref="B118:E118"/>
    <mergeCell ref="F442:G442"/>
    <mergeCell ref="B394:E394"/>
    <mergeCell ref="F426:G426"/>
    <mergeCell ref="B378:E378"/>
    <mergeCell ref="B458:E458"/>
    <mergeCell ref="G268:G280"/>
    <mergeCell ref="G152:G164"/>
    <mergeCell ref="B442:E442"/>
    <mergeCell ref="G494:G506"/>
    <mergeCell ref="G6:G18"/>
    <mergeCell ref="F298:G298"/>
    <mergeCell ref="F36:G36"/>
    <mergeCell ref="B134:E134"/>
    <mergeCell ref="F492:G492"/>
    <mergeCell ref="B492:E492"/>
    <mergeCell ref="G234:G246"/>
    <mergeCell ref="F100:G100"/>
    <mergeCell ref="G250:G262"/>
    <mergeCell ref="G428:G440"/>
    <mergeCell ref="B52:E52"/>
    <mergeCell ref="G526:G538"/>
    <mergeCell ref="G54:G66"/>
    <mergeCell ref="G510:G522"/>
    <mergeCell ref="G364:G376"/>
    <mergeCell ref="G380:G392"/>
    <mergeCell ref="F166:G166"/>
    <mergeCell ref="F362:G362"/>
    <mergeCell ref="G120:G132"/>
    <mergeCell ref="G300:G312"/>
    <mergeCell ref="F182:G182"/>
    <mergeCell ref="B540:E540"/>
    <mergeCell ref="F314:G314"/>
    <mergeCell ref="B20:E20"/>
    <mergeCell ref="B216:E216"/>
    <mergeCell ref="B198:E198"/>
    <mergeCell ref="B491:G491"/>
    <mergeCell ref="B474:E474"/>
    <mergeCell ref="B4:E4"/>
    <mergeCell ref="F248:G248"/>
    <mergeCell ref="F282:G282"/>
    <mergeCell ref="F524:G524"/>
    <mergeCell ref="F232:G232"/>
    <mergeCell ref="B150:E150"/>
    <mergeCell ref="F330:G330"/>
    <mergeCell ref="F508:G508"/>
    <mergeCell ref="B282:E282"/>
    <mergeCell ref="G200:G212"/>
    <mergeCell ref="B265:G265"/>
    <mergeCell ref="B508:E508"/>
    <mergeCell ref="G218:G230"/>
    <mergeCell ref="B346:E346"/>
    <mergeCell ref="F52:G52"/>
    <mergeCell ref="G332:G344"/>
    <mergeCell ref="G316:G328"/>
  </mergeCells>
  <conditionalFormatting sqref="D3:D557">
    <cfRule type="cellIs" priority="1" operator="equal" dxfId="0">
      <formula>"نعم"</formula>
    </cfRule>
    <cfRule type="cellIs" priority="2" operator="equal" dxfId="1">
      <formula>"لا"</formula>
    </cfRule>
    <cfRule type="cellIs" priority="3" operator="equal" dxfId="2">
      <formula>"جاري العمل عليه"</formula>
    </cfRule>
  </conditionalFormatting>
  <conditionalFormatting sqref="G3:G557">
    <cfRule type="cellIs" priority="4" operator="equal" dxfId="0">
      <formula>"مكتمل ومغلق"</formula>
    </cfRule>
    <cfRule type="cellIs" priority="5" operator="equal" dxfId="2">
      <formula>"جاري العمل عليه"</formula>
    </cfRule>
  </conditionalFormatting>
  <dataValidations count="1">
    <dataValidation sqref="D6 D7 D8 D9 D10 D11 D12 D13 D14 D15 D16 D17 D18 D22 D23 D24 D25 D26 D27 D28 D29 D30 D31 D32 D33 D34 D38 D39 D40 D41 D42 D43 D44 D45 D46 D47 D48 D49 D50 D54 D55 D56 D57 D58 D59 D60 D61 D62 D63 D64 D65 D66 D70 D71 D72 D73 D74 D75 D76 D77 D78 D79 D80 D81 D82 D86 D87 D88 D89 D90 D91 D92 D93 D94 D95 D96 D97 D98 D102 D103 D104 D105 D106 D107 D108 D109 D110 D111 D112 D113 D114 D120 D121 D122 D123 D124 D125 D126 D127 D128 D129 D130 D131 D132 D136 D137 D138 D139 D140 D141 D142 D143 D144 D145 D146 D147 D148 D152 D153 D154 D155 D156 D157 D158 D159 D160 D161 D162 D163 D164 D168 D169 D170 D171 D172 D173 D174 D175 D176 D177 D178 D179 D180 D184 D185 D186 D187 D188 D189 D190 D191 D192 D193 D194 D195 D196 D200 D201 D202 D203 D204 D205 D206 D207 D208 D209 D210 D211 D212 D218 D219 D220 D221 D222 D223 D224 D225 D226 D227 D228 D229 D230 D234 D235 D236 D237 D238 D239 D240 D241 D242 D243 D244 D245 D246 D250 D251 D252 D253 D254 D255 D256 D257 D258 D259 D260 D261 D262 D268 D269 D270 D271 D272 D273 D274 D275 D276 D277 D278 D279 D280 D284 D285 D286 D287 D288 D289 D290 D291 D292 D293 D294 D295 D296 D300 D301 D302 D303 D304 D305 D306 D307 D308 D309 D310 D311 D312 D316 D317 D318 D319 D320 D321 D322 D323 D324 D325 D326 D327 D328 D332 D333 D334 D335 D336 D337 D338 D339 D340 D341 D342 D343 D344 D348 D349 D350 D351 D352 D353 D354 D355 D356 D357 D358 D359 D360 D364 D365 D366 D367 D368 D369 D370 D371 D372 D373 D374 D375 D376 D380 D381 D382 D383 D384 D385 D386 D387 D388 D389 D390 D391 D392 D396 D397 D398 D399 D400 D401 D402 D403 D404 D405 D406 D407 D408 D412 D413 D414 D415 D416 D417 D418 D419 D420 D421 D422 D423 D424 D428 D429 D430 D431 D432 D433 D434 D435 D436 D437 D438 D439 D440 D444 D445 D446 D447 D448 D449 D450 D451 D452 D453 D454 D455 D456 D460 D461 D462 D463 D464 D465 D466 D467 D468 D469 D470 D471 D472 D476 D477 D478 D479 D480 D481 D482 D483 D484 D485 D486 D487 D488 D494 D495 D496 D497 D498 D499 D500 D501 D502 D503 D504 D505 D506 D510 D511 D512 D513 D514 D515 D516 D517 D518 D519 D520 D521 D522 D526 D527 D528 D529 D530 D531 D532 D533 D534 D535 D536 D537 D538 D542 D543 D544 D545 D546 D547 D548 D549 D550 D551 D552 D553 D554" showDropDown="0" showInputMessage="0" showErrorMessage="0" allowBlank="1" errorTitle="قيمة غير صحيحة" error="يرجى اختيار قيمة من القائمة" promptTitle="حالة المهمة" prompt="اختر حالة المهمة" type="list">
      <formula1>"نعم,لا,لا ينطبق,جاري العمل عليه"</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FB8C00"/>
    <outlinePr summaryBelow="1" summaryRight="1"/>
    <pageSetUpPr/>
  </sheetPr>
  <dimension ref="B2:AB110"/>
  <sheetViews>
    <sheetView rightToLeft="1" workbookViewId="0">
      <selection activeCell="A1" sqref="A1"/>
    </sheetView>
  </sheetViews>
  <sheetFormatPr baseColWidth="8" defaultRowHeight="15"/>
  <cols>
    <col width="5" customWidth="1" min="1" max="1"/>
    <col width="1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s>
  <sheetData>
    <row r="1" ht="30" customHeight="1"/>
    <row r="2" ht="30" customHeight="1">
      <c r="B2" s="3" t="inlineStr">
        <is>
          <t>سجل الحضور والغياب - 2026</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row>
    <row r="4">
      <c r="B4" s="31" t="inlineStr">
        <is>
          <t>دليل الرموز</t>
        </is>
      </c>
    </row>
    <row r="5">
      <c r="B5" s="32" t="inlineStr">
        <is>
          <t>✔</t>
        </is>
      </c>
      <c r="C5" s="33" t="inlineStr">
        <is>
          <t>حاضر</t>
        </is>
      </c>
      <c r="D5" s="32" t="inlineStr">
        <is>
          <t>✘</t>
        </is>
      </c>
      <c r="E5" s="34" t="inlineStr">
        <is>
          <t>غائب</t>
        </is>
      </c>
      <c r="F5" s="32" t="inlineStr">
        <is>
          <t>🤒</t>
        </is>
      </c>
      <c r="G5" s="35" t="inlineStr">
        <is>
          <t>إجازة مرضية</t>
        </is>
      </c>
      <c r="H5" s="32" t="inlineStr">
        <is>
          <t>🌴</t>
        </is>
      </c>
      <c r="I5" s="36" t="inlineStr">
        <is>
          <t>إجازة سنوية</t>
        </is>
      </c>
      <c r="J5" s="32" t="inlineStr">
        <is>
          <t>🏠</t>
        </is>
      </c>
      <c r="K5" s="37" t="inlineStr">
        <is>
          <t>عمل عن بعد</t>
        </is>
      </c>
      <c r="L5" s="32" t="inlineStr">
        <is>
          <t>⏱</t>
        </is>
      </c>
      <c r="M5" s="38" t="inlineStr">
        <is>
          <t>إجازة أخرى</t>
        </is>
      </c>
    </row>
    <row r="7">
      <c r="B7" s="39" t="inlineStr">
        <is>
          <t>رصيد الإجازات</t>
        </is>
      </c>
      <c r="C7" s="4" t="n"/>
      <c r="D7" s="4" t="n"/>
      <c r="E7" s="4" t="n"/>
      <c r="F7" s="4" t="n"/>
      <c r="G7" s="4" t="n"/>
      <c r="H7" s="4" t="n"/>
      <c r="I7" s="4" t="n"/>
      <c r="J7" s="4" t="n"/>
    </row>
    <row r="8">
      <c r="B8" s="40" t="inlineStr">
        <is>
          <t>الموظف</t>
        </is>
      </c>
      <c r="C8" s="40" t="inlineStr">
        <is>
          <t>سنوية (25)</t>
        </is>
      </c>
      <c r="D8" s="40" t="inlineStr">
        <is>
          <t>المستخدمة</t>
        </is>
      </c>
      <c r="E8" s="40" t="inlineStr">
        <is>
          <t>المتبقية</t>
        </is>
      </c>
      <c r="F8" s="40" t="inlineStr">
        <is>
          <t>مرضية (60)</t>
        </is>
      </c>
      <c r="G8" s="40" t="inlineStr">
        <is>
          <t>المستخدمة</t>
        </is>
      </c>
      <c r="H8" s="40" t="inlineStr">
        <is>
          <t>المتبقية</t>
        </is>
      </c>
      <c r="I8" s="40" t="inlineStr">
        <is>
          <t>عن بعد (12)</t>
        </is>
      </c>
      <c r="J8" s="40" t="inlineStr">
        <is>
          <t>المستخدمة</t>
        </is>
      </c>
    </row>
    <row r="9">
      <c r="B9" s="41" t="inlineStr">
        <is>
          <t>شكرية كنكار</t>
        </is>
      </c>
      <c r="C9" s="15" t="n">
        <v>25</v>
      </c>
      <c r="D9" s="15" t="n">
        <v>0</v>
      </c>
      <c r="E9" s="25">
        <f>C9-D9</f>
        <v/>
      </c>
      <c r="F9" s="15" t="n">
        <v>60</v>
      </c>
      <c r="G9" s="15" t="n">
        <v>0</v>
      </c>
      <c r="H9" s="25">
        <f>F9-G9</f>
        <v/>
      </c>
      <c r="I9" s="15" t="n">
        <v>12</v>
      </c>
      <c r="J9" s="15" t="n">
        <v>0</v>
      </c>
    </row>
    <row r="10">
      <c r="B10" s="41" t="inlineStr">
        <is>
          <t>نايف الجلال</t>
        </is>
      </c>
      <c r="C10" s="15" t="n">
        <v>25</v>
      </c>
      <c r="D10" s="15" t="n">
        <v>0</v>
      </c>
      <c r="E10" s="25">
        <f>C10-D10</f>
        <v/>
      </c>
      <c r="F10" s="15" t="n">
        <v>60</v>
      </c>
      <c r="G10" s="15" t="n">
        <v>0</v>
      </c>
      <c r="H10" s="25">
        <f>F10-G10</f>
        <v/>
      </c>
      <c r="I10" s="15" t="n">
        <v>12</v>
      </c>
      <c r="J10" s="15" t="n">
        <v>0</v>
      </c>
    </row>
    <row r="11">
      <c r="B11" s="41" t="inlineStr">
        <is>
          <t>عبد العزيز المعجل</t>
        </is>
      </c>
      <c r="C11" s="15" t="n">
        <v>25</v>
      </c>
      <c r="D11" s="15" t="n">
        <v>0</v>
      </c>
      <c r="E11" s="25">
        <f>C11-D11</f>
        <v/>
      </c>
      <c r="F11" s="15" t="n">
        <v>60</v>
      </c>
      <c r="G11" s="15" t="n">
        <v>0</v>
      </c>
      <c r="H11" s="25">
        <f>F11-G11</f>
        <v/>
      </c>
      <c r="I11" s="15" t="n">
        <v>12</v>
      </c>
      <c r="J11" s="15" t="n">
        <v>0</v>
      </c>
    </row>
    <row r="12">
      <c r="B12" s="41" t="inlineStr">
        <is>
          <t>صالح الغفيلي</t>
        </is>
      </c>
      <c r="C12" s="15" t="n">
        <v>25</v>
      </c>
      <c r="D12" s="15" t="n">
        <v>0</v>
      </c>
      <c r="E12" s="25">
        <f>C12-D12</f>
        <v/>
      </c>
      <c r="F12" s="15" t="n">
        <v>60</v>
      </c>
      <c r="G12" s="15" t="n">
        <v>0</v>
      </c>
      <c r="H12" s="25">
        <f>F12-G12</f>
        <v/>
      </c>
      <c r="I12" s="15" t="n">
        <v>12</v>
      </c>
      <c r="J12" s="15" t="n">
        <v>0</v>
      </c>
    </row>
    <row r="13">
      <c r="B13" s="41" t="inlineStr">
        <is>
          <t>مشعل محمد</t>
        </is>
      </c>
      <c r="C13" s="15" t="n">
        <v>25</v>
      </c>
      <c r="D13" s="15" t="n">
        <v>0</v>
      </c>
      <c r="E13" s="25">
        <f>C13-D13</f>
        <v/>
      </c>
      <c r="F13" s="15" t="n">
        <v>60</v>
      </c>
      <c r="G13" s="15" t="n">
        <v>0</v>
      </c>
      <c r="H13" s="25">
        <f>F13-G13</f>
        <v/>
      </c>
      <c r="I13" s="15" t="n">
        <v>12</v>
      </c>
      <c r="J13" s="15" t="n">
        <v>0</v>
      </c>
    </row>
    <row r="16">
      <c r="B16" s="23" t="inlineStr">
        <is>
          <t>شهر يناير 2026</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row>
    <row r="17">
      <c r="B17" s="29" t="inlineStr">
        <is>
          <t>الموظف</t>
        </is>
      </c>
      <c r="C17" s="42" t="inlineStr">
        <is>
          <t>1
الخميس</t>
        </is>
      </c>
      <c r="D17" s="42" t="inlineStr">
        <is>
          <t>4
الأحد</t>
        </is>
      </c>
      <c r="E17" s="42" t="inlineStr">
        <is>
          <t>5
الإثنين</t>
        </is>
      </c>
      <c r="F17" s="42" t="inlineStr">
        <is>
          <t>6
الثلاثاء</t>
        </is>
      </c>
      <c r="G17" s="42" t="inlineStr">
        <is>
          <t>7
الأربعاء</t>
        </is>
      </c>
      <c r="H17" s="42" t="inlineStr">
        <is>
          <t>8
الخميس</t>
        </is>
      </c>
      <c r="I17" s="42" t="inlineStr">
        <is>
          <t>11
الأحد</t>
        </is>
      </c>
      <c r="J17" s="42" t="inlineStr">
        <is>
          <t>12
الإثنين</t>
        </is>
      </c>
      <c r="K17" s="42" t="inlineStr">
        <is>
          <t>13
الثلاثاء</t>
        </is>
      </c>
      <c r="L17" s="42" t="inlineStr">
        <is>
          <t>14
الأربعاء</t>
        </is>
      </c>
      <c r="M17" s="42" t="inlineStr">
        <is>
          <t>15
الخميس</t>
        </is>
      </c>
      <c r="N17" s="42" t="inlineStr">
        <is>
          <t>18
الأحد</t>
        </is>
      </c>
      <c r="O17" s="42" t="inlineStr">
        <is>
          <t>19
الإثنين</t>
        </is>
      </c>
      <c r="P17" s="42" t="inlineStr">
        <is>
          <t>20
الثلاثاء</t>
        </is>
      </c>
      <c r="Q17" s="42" t="inlineStr">
        <is>
          <t>21
الأربعاء</t>
        </is>
      </c>
      <c r="R17" s="42" t="inlineStr">
        <is>
          <t>22
الخميس</t>
        </is>
      </c>
      <c r="S17" s="42" t="inlineStr">
        <is>
          <t>25
الأحد</t>
        </is>
      </c>
      <c r="T17" s="42" t="inlineStr">
        <is>
          <t>26
الإثنين</t>
        </is>
      </c>
      <c r="U17" s="42" t="inlineStr">
        <is>
          <t>27
الثلاثاء</t>
        </is>
      </c>
      <c r="V17" s="42" t="inlineStr">
        <is>
          <t>28
الأربعاء</t>
        </is>
      </c>
      <c r="W17" s="42" t="inlineStr">
        <is>
          <t>29
الخميس</t>
        </is>
      </c>
    </row>
    <row r="18">
      <c r="B18" s="43" t="inlineStr">
        <is>
          <t>شكرية كنكار</t>
        </is>
      </c>
      <c r="C18" s="44" t="n"/>
      <c r="D18" s="44" t="n"/>
      <c r="E18" s="44" t="n"/>
      <c r="F18" s="44" t="n"/>
      <c r="G18" s="44" t="n"/>
      <c r="H18" s="44" t="n"/>
      <c r="I18" s="44" t="n"/>
      <c r="J18" s="44" t="n"/>
      <c r="K18" s="44" t="n"/>
      <c r="L18" s="44" t="n"/>
      <c r="M18" s="44" t="n"/>
      <c r="N18" s="44" t="n"/>
      <c r="O18" s="44" t="n"/>
      <c r="P18" s="44" t="n"/>
      <c r="Q18" s="44" t="n"/>
      <c r="R18" s="44" t="n"/>
      <c r="S18" s="44" t="n"/>
      <c r="T18" s="44" t="n"/>
      <c r="U18" s="44" t="n"/>
      <c r="V18" s="44" t="n"/>
      <c r="W18" s="44" t="n"/>
    </row>
    <row r="19">
      <c r="B19" s="43" t="inlineStr">
        <is>
          <t>نايف الجلال</t>
        </is>
      </c>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row>
    <row r="20">
      <c r="B20" s="43" t="inlineStr">
        <is>
          <t>عبد العزيز المعجل</t>
        </is>
      </c>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row>
    <row r="21">
      <c r="B21" s="43" t="inlineStr">
        <is>
          <t>صالح الغفيلي</t>
        </is>
      </c>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row>
    <row r="22">
      <c r="B22" s="43" t="inlineStr">
        <is>
          <t>مشعل محمد</t>
        </is>
      </c>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row>
    <row r="24">
      <c r="B24" s="23" t="inlineStr">
        <is>
          <t>شهر فبراير 2026</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row>
    <row r="25">
      <c r="B25" s="29" t="inlineStr">
        <is>
          <t>الموظف</t>
        </is>
      </c>
      <c r="C25" s="42" t="inlineStr">
        <is>
          <t>1
الأحد</t>
        </is>
      </c>
      <c r="D25" s="42" t="inlineStr">
        <is>
          <t>2
الإثنين</t>
        </is>
      </c>
      <c r="E25" s="42" t="inlineStr">
        <is>
          <t>3
الثلاثاء</t>
        </is>
      </c>
      <c r="F25" s="42" t="inlineStr">
        <is>
          <t>4
الأربعاء</t>
        </is>
      </c>
      <c r="G25" s="42" t="inlineStr">
        <is>
          <t>5
الخميس</t>
        </is>
      </c>
      <c r="H25" s="42" t="inlineStr">
        <is>
          <t>8
الأحد</t>
        </is>
      </c>
      <c r="I25" s="42" t="inlineStr">
        <is>
          <t>9
الإثنين</t>
        </is>
      </c>
      <c r="J25" s="42" t="inlineStr">
        <is>
          <t>10
الثلاثاء</t>
        </is>
      </c>
      <c r="K25" s="42" t="inlineStr">
        <is>
          <t>11
الأربعاء</t>
        </is>
      </c>
      <c r="L25" s="42" t="inlineStr">
        <is>
          <t>12
الخميس</t>
        </is>
      </c>
      <c r="M25" s="42" t="inlineStr">
        <is>
          <t>15
الأحد</t>
        </is>
      </c>
      <c r="N25" s="42" t="inlineStr">
        <is>
          <t>16
الإثنين</t>
        </is>
      </c>
      <c r="O25" s="42" t="inlineStr">
        <is>
          <t>17
الثلاثاء</t>
        </is>
      </c>
      <c r="P25" s="42" t="inlineStr">
        <is>
          <t>18
الأربعاء</t>
        </is>
      </c>
      <c r="Q25" s="42" t="inlineStr">
        <is>
          <t>19
الخميس</t>
        </is>
      </c>
      <c r="R25" s="42" t="inlineStr">
        <is>
          <t>22
الأحد</t>
        </is>
      </c>
      <c r="S25" s="42" t="inlineStr">
        <is>
          <t>23
الإثنين</t>
        </is>
      </c>
      <c r="T25" s="42" t="inlineStr">
        <is>
          <t>24
الثلاثاء</t>
        </is>
      </c>
      <c r="U25" s="42" t="inlineStr">
        <is>
          <t>25
الأربعاء</t>
        </is>
      </c>
      <c r="V25" s="42" t="inlineStr">
        <is>
          <t>26
الخميس</t>
        </is>
      </c>
    </row>
    <row r="26">
      <c r="B26" s="43" t="inlineStr">
        <is>
          <t>شكرية كنكار</t>
        </is>
      </c>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row>
    <row r="27">
      <c r="B27" s="43" t="inlineStr">
        <is>
          <t>نايف الجلال</t>
        </is>
      </c>
      <c r="C27" s="44" t="n"/>
      <c r="D27" s="44" t="n"/>
      <c r="E27" s="44" t="n"/>
      <c r="F27" s="44" t="n"/>
      <c r="G27" s="44" t="n"/>
      <c r="H27" s="44" t="n"/>
      <c r="I27" s="44" t="n"/>
      <c r="J27" s="44" t="n"/>
      <c r="K27" s="44" t="n"/>
      <c r="L27" s="44" t="n"/>
      <c r="M27" s="44" t="n"/>
      <c r="N27" s="44" t="n"/>
      <c r="O27" s="44" t="n"/>
      <c r="P27" s="44" t="n"/>
      <c r="Q27" s="44" t="n"/>
      <c r="R27" s="44" t="n"/>
      <c r="S27" s="44" t="n"/>
      <c r="T27" s="44" t="n"/>
      <c r="U27" s="44" t="n"/>
      <c r="V27" s="44" t="n"/>
    </row>
    <row r="28">
      <c r="B28" s="43" t="inlineStr">
        <is>
          <t>عبد العزيز المعجل</t>
        </is>
      </c>
      <c r="C28" s="44" t="n"/>
      <c r="D28" s="44" t="n"/>
      <c r="E28" s="44" t="n"/>
      <c r="F28" s="44" t="n"/>
      <c r="G28" s="44" t="n"/>
      <c r="H28" s="44" t="n"/>
      <c r="I28" s="44" t="n"/>
      <c r="J28" s="44" t="n"/>
      <c r="K28" s="44" t="n"/>
      <c r="L28" s="44" t="n"/>
      <c r="M28" s="44" t="n"/>
      <c r="N28" s="44" t="n"/>
      <c r="O28" s="44" t="n"/>
      <c r="P28" s="44" t="n"/>
      <c r="Q28" s="44" t="n"/>
      <c r="R28" s="44" t="n"/>
      <c r="S28" s="44" t="n"/>
      <c r="T28" s="44" t="n"/>
      <c r="U28" s="44" t="n"/>
      <c r="V28" s="44" t="n"/>
    </row>
    <row r="29">
      <c r="B29" s="43" t="inlineStr">
        <is>
          <t>صالح الغفيلي</t>
        </is>
      </c>
      <c r="C29" s="44" t="n"/>
      <c r="D29" s="44" t="n"/>
      <c r="E29" s="44" t="n"/>
      <c r="F29" s="44" t="n"/>
      <c r="G29" s="44" t="n"/>
      <c r="H29" s="44" t="n"/>
      <c r="I29" s="44" t="n"/>
      <c r="J29" s="44" t="n"/>
      <c r="K29" s="44" t="n"/>
      <c r="L29" s="44" t="n"/>
      <c r="M29" s="44" t="n"/>
      <c r="N29" s="44" t="n"/>
      <c r="O29" s="44" t="n"/>
      <c r="P29" s="44" t="n"/>
      <c r="Q29" s="44" t="n"/>
      <c r="R29" s="44" t="n"/>
      <c r="S29" s="44" t="n"/>
      <c r="T29" s="44" t="n"/>
      <c r="U29" s="44" t="n"/>
      <c r="V29" s="44" t="n"/>
    </row>
    <row r="30">
      <c r="B30" s="43" t="inlineStr">
        <is>
          <t>مشعل محمد</t>
        </is>
      </c>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row>
    <row r="32">
      <c r="B32" s="23" t="inlineStr">
        <is>
          <t>شهر مارس 2026</t>
        </is>
      </c>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row>
    <row r="33">
      <c r="B33" s="29" t="inlineStr">
        <is>
          <t>الموظف</t>
        </is>
      </c>
      <c r="C33" s="42" t="inlineStr">
        <is>
          <t>1
الأحد</t>
        </is>
      </c>
      <c r="D33" s="42" t="inlineStr">
        <is>
          <t>2
الإثنين</t>
        </is>
      </c>
      <c r="E33" s="42" t="inlineStr">
        <is>
          <t>3
الثلاثاء</t>
        </is>
      </c>
      <c r="F33" s="42" t="inlineStr">
        <is>
          <t>4
الأربعاء</t>
        </is>
      </c>
      <c r="G33" s="42" t="inlineStr">
        <is>
          <t>5
الخميس</t>
        </is>
      </c>
      <c r="H33" s="42" t="inlineStr">
        <is>
          <t>8
الأحد</t>
        </is>
      </c>
      <c r="I33" s="42" t="inlineStr">
        <is>
          <t>9
الإثنين</t>
        </is>
      </c>
      <c r="J33" s="42" t="inlineStr">
        <is>
          <t>10
الثلاثاء</t>
        </is>
      </c>
      <c r="K33" s="42" t="inlineStr">
        <is>
          <t>11
الأربعاء</t>
        </is>
      </c>
      <c r="L33" s="42" t="inlineStr">
        <is>
          <t>12
الخميس</t>
        </is>
      </c>
      <c r="M33" s="42" t="inlineStr">
        <is>
          <t>15
الأحد</t>
        </is>
      </c>
      <c r="N33" s="42" t="inlineStr">
        <is>
          <t>16
الإثنين</t>
        </is>
      </c>
      <c r="O33" s="42" t="inlineStr">
        <is>
          <t>17
الثلاثاء</t>
        </is>
      </c>
      <c r="P33" s="42" t="inlineStr">
        <is>
          <t>18
الأربعاء</t>
        </is>
      </c>
      <c r="Q33" s="42" t="inlineStr">
        <is>
          <t>19
الخميس</t>
        </is>
      </c>
      <c r="R33" s="42" t="inlineStr">
        <is>
          <t>22
الأحد</t>
        </is>
      </c>
      <c r="S33" s="42" t="inlineStr">
        <is>
          <t>23
الإثنين</t>
        </is>
      </c>
      <c r="T33" s="42" t="inlineStr">
        <is>
          <t>24
الثلاثاء</t>
        </is>
      </c>
      <c r="U33" s="42" t="inlineStr">
        <is>
          <t>25
الأربعاء</t>
        </is>
      </c>
      <c r="V33" s="42" t="inlineStr">
        <is>
          <t>26
الخميس</t>
        </is>
      </c>
      <c r="W33" s="42" t="inlineStr">
        <is>
          <t>29
الأحد</t>
        </is>
      </c>
      <c r="X33" s="42" t="inlineStr">
        <is>
          <t>30
الإثنين</t>
        </is>
      </c>
      <c r="Y33" s="42" t="inlineStr">
        <is>
          <t>31
الثلاثاء</t>
        </is>
      </c>
    </row>
    <row r="34">
      <c r="B34" s="43" t="inlineStr">
        <is>
          <t>شكرية كنكار</t>
        </is>
      </c>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row>
    <row r="35">
      <c r="B35" s="43" t="inlineStr">
        <is>
          <t>نايف الجلال</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row>
    <row r="36">
      <c r="B36" s="43" t="inlineStr">
        <is>
          <t>عبد العزيز المعجل</t>
        </is>
      </c>
      <c r="C36" s="44" t="n"/>
      <c r="D36" s="44" t="n"/>
      <c r="E36" s="44"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row>
    <row r="37">
      <c r="B37" s="43" t="inlineStr">
        <is>
          <t>صالح الغفيلي</t>
        </is>
      </c>
      <c r="C37" s="44" t="n"/>
      <c r="D37" s="44" t="n"/>
      <c r="E37" s="44"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row>
    <row r="38">
      <c r="B38" s="43" t="inlineStr">
        <is>
          <t>مشعل محمد</t>
        </is>
      </c>
      <c r="C38" s="44" t="n"/>
      <c r="D38" s="44" t="n"/>
      <c r="E38" s="44"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row>
    <row r="40">
      <c r="B40" s="23" t="inlineStr">
        <is>
          <t>شهر أبريل 2026</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row>
    <row r="41">
      <c r="B41" s="29" t="inlineStr">
        <is>
          <t>الموظف</t>
        </is>
      </c>
      <c r="C41" s="42" t="inlineStr">
        <is>
          <t>1
الأربعاء</t>
        </is>
      </c>
      <c r="D41" s="42" t="inlineStr">
        <is>
          <t>2
الخميس</t>
        </is>
      </c>
      <c r="E41" s="42" t="inlineStr">
        <is>
          <t>5
الأحد</t>
        </is>
      </c>
      <c r="F41" s="42" t="inlineStr">
        <is>
          <t>6
الإثنين</t>
        </is>
      </c>
      <c r="G41" s="42" t="inlineStr">
        <is>
          <t>7
الثلاثاء</t>
        </is>
      </c>
      <c r="H41" s="42" t="inlineStr">
        <is>
          <t>8
الأربعاء</t>
        </is>
      </c>
      <c r="I41" s="42" t="inlineStr">
        <is>
          <t>9
الخميس</t>
        </is>
      </c>
      <c r="J41" s="42" t="inlineStr">
        <is>
          <t>12
الأحد</t>
        </is>
      </c>
      <c r="K41" s="42" t="inlineStr">
        <is>
          <t>13
الإثنين</t>
        </is>
      </c>
      <c r="L41" s="42" t="inlineStr">
        <is>
          <t>14
الثلاثاء</t>
        </is>
      </c>
      <c r="M41" s="42" t="inlineStr">
        <is>
          <t>15
الأربعاء</t>
        </is>
      </c>
      <c r="N41" s="42" t="inlineStr">
        <is>
          <t>16
الخميس</t>
        </is>
      </c>
      <c r="O41" s="42" t="inlineStr">
        <is>
          <t>19
الأحد</t>
        </is>
      </c>
      <c r="P41" s="42" t="inlineStr">
        <is>
          <t>20
الإثنين</t>
        </is>
      </c>
      <c r="Q41" s="42" t="inlineStr">
        <is>
          <t>21
الثلاثاء</t>
        </is>
      </c>
      <c r="R41" s="42" t="inlineStr">
        <is>
          <t>22
الأربعاء</t>
        </is>
      </c>
      <c r="S41" s="42" t="inlineStr">
        <is>
          <t>23
الخميس</t>
        </is>
      </c>
      <c r="T41" s="42" t="inlineStr">
        <is>
          <t>26
الأحد</t>
        </is>
      </c>
      <c r="U41" s="42" t="inlineStr">
        <is>
          <t>27
الإثنين</t>
        </is>
      </c>
      <c r="V41" s="42" t="inlineStr">
        <is>
          <t>28
الثلاثاء</t>
        </is>
      </c>
      <c r="W41" s="42" t="inlineStr">
        <is>
          <t>29
الأربعاء</t>
        </is>
      </c>
      <c r="X41" s="42" t="inlineStr">
        <is>
          <t>30
الخميس</t>
        </is>
      </c>
    </row>
    <row r="42">
      <c r="B42" s="43" t="inlineStr">
        <is>
          <t>شكرية كنكار</t>
        </is>
      </c>
      <c r="C42" s="44" t="n"/>
      <c r="D42" s="44" t="n"/>
      <c r="E42" s="44" t="n"/>
      <c r="F42" s="44" t="n"/>
      <c r="G42" s="44" t="n"/>
      <c r="H42" s="44" t="n"/>
      <c r="I42" s="44" t="n"/>
      <c r="J42" s="44" t="n"/>
      <c r="K42" s="44" t="n"/>
      <c r="L42" s="44" t="n"/>
      <c r="M42" s="44" t="n"/>
      <c r="N42" s="44" t="n"/>
      <c r="O42" s="44" t="n"/>
      <c r="P42" s="44" t="n"/>
      <c r="Q42" s="44" t="n"/>
      <c r="R42" s="44" t="n"/>
      <c r="S42" s="44" t="n"/>
      <c r="T42" s="44" t="n"/>
      <c r="U42" s="44" t="n"/>
      <c r="V42" s="44" t="n"/>
      <c r="W42" s="44" t="n"/>
      <c r="X42" s="44" t="n"/>
    </row>
    <row r="43">
      <c r="B43" s="43" t="inlineStr">
        <is>
          <t>نايف الجلال</t>
        </is>
      </c>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row>
    <row r="44">
      <c r="B44" s="43" t="inlineStr">
        <is>
          <t>عبد العزيز المعجل</t>
        </is>
      </c>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row>
    <row r="45">
      <c r="B45" s="43" t="inlineStr">
        <is>
          <t>صالح الغفيلي</t>
        </is>
      </c>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row>
    <row r="46">
      <c r="B46" s="43" t="inlineStr">
        <is>
          <t>مشعل محمد</t>
        </is>
      </c>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row>
    <row r="48">
      <c r="B48" s="23" t="inlineStr">
        <is>
          <t>شهر مايو 2026</t>
        </is>
      </c>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c r="B49" s="29" t="inlineStr">
        <is>
          <t>الموظف</t>
        </is>
      </c>
      <c r="C49" s="42" t="inlineStr">
        <is>
          <t>3
الأحد</t>
        </is>
      </c>
      <c r="D49" s="42" t="inlineStr">
        <is>
          <t>4
الإثنين</t>
        </is>
      </c>
      <c r="E49" s="42" t="inlineStr">
        <is>
          <t>5
الثلاثاء</t>
        </is>
      </c>
      <c r="F49" s="42" t="inlineStr">
        <is>
          <t>6
الأربعاء</t>
        </is>
      </c>
      <c r="G49" s="42" t="inlineStr">
        <is>
          <t>7
الخميس</t>
        </is>
      </c>
      <c r="H49" s="42" t="inlineStr">
        <is>
          <t>10
الأحد</t>
        </is>
      </c>
      <c r="I49" s="42" t="inlineStr">
        <is>
          <t>11
الإثنين</t>
        </is>
      </c>
      <c r="J49" s="42" t="inlineStr">
        <is>
          <t>12
الثلاثاء</t>
        </is>
      </c>
      <c r="K49" s="42" t="inlineStr">
        <is>
          <t>13
الأربعاء</t>
        </is>
      </c>
      <c r="L49" s="42" t="inlineStr">
        <is>
          <t>14
الخميس</t>
        </is>
      </c>
      <c r="M49" s="42" t="inlineStr">
        <is>
          <t>17
الأحد</t>
        </is>
      </c>
      <c r="N49" s="42" t="inlineStr">
        <is>
          <t>18
الإثنين</t>
        </is>
      </c>
      <c r="O49" s="42" t="inlineStr">
        <is>
          <t>19
الثلاثاء</t>
        </is>
      </c>
      <c r="P49" s="42" t="inlineStr">
        <is>
          <t>20
الأربعاء</t>
        </is>
      </c>
      <c r="Q49" s="42" t="inlineStr">
        <is>
          <t>21
الخميس</t>
        </is>
      </c>
      <c r="R49" s="42" t="inlineStr">
        <is>
          <t>24
الأحد</t>
        </is>
      </c>
      <c r="S49" s="42" t="inlineStr">
        <is>
          <t>25
الإثنين</t>
        </is>
      </c>
      <c r="T49" s="42" t="inlineStr">
        <is>
          <t>26
الثلاثاء</t>
        </is>
      </c>
      <c r="U49" s="42" t="inlineStr">
        <is>
          <t>27
الأربعاء</t>
        </is>
      </c>
      <c r="V49" s="42" t="inlineStr">
        <is>
          <t>28
الخميس</t>
        </is>
      </c>
      <c r="W49" s="42" t="inlineStr">
        <is>
          <t>31
الأحد</t>
        </is>
      </c>
    </row>
    <row r="50">
      <c r="B50" s="43" t="inlineStr">
        <is>
          <t>شكرية كنكار</t>
        </is>
      </c>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row>
    <row r="51">
      <c r="B51" s="43" t="inlineStr">
        <is>
          <t>نايف الجلال</t>
        </is>
      </c>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row>
    <row r="52">
      <c r="B52" s="43" t="inlineStr">
        <is>
          <t>عبد العزيز المعجل</t>
        </is>
      </c>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row>
    <row r="53">
      <c r="B53" s="43" t="inlineStr">
        <is>
          <t>صالح الغفيلي</t>
        </is>
      </c>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row>
    <row r="54">
      <c r="B54" s="43" t="inlineStr">
        <is>
          <t>مشعل محمد</t>
        </is>
      </c>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row>
    <row r="56">
      <c r="B56" s="23" t="inlineStr">
        <is>
          <t>شهر يونيو 2026</t>
        </is>
      </c>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c r="B57" s="29" t="inlineStr">
        <is>
          <t>الموظف</t>
        </is>
      </c>
      <c r="C57" s="42" t="inlineStr">
        <is>
          <t>1
الإثنين</t>
        </is>
      </c>
      <c r="D57" s="42" t="inlineStr">
        <is>
          <t>2
الثلاثاء</t>
        </is>
      </c>
      <c r="E57" s="42" t="inlineStr">
        <is>
          <t>3
الأربعاء</t>
        </is>
      </c>
      <c r="F57" s="42" t="inlineStr">
        <is>
          <t>4
الخميس</t>
        </is>
      </c>
      <c r="G57" s="42" t="inlineStr">
        <is>
          <t>7
الأحد</t>
        </is>
      </c>
      <c r="H57" s="42" t="inlineStr">
        <is>
          <t>8
الإثنين</t>
        </is>
      </c>
      <c r="I57" s="42" t="inlineStr">
        <is>
          <t>9
الثلاثاء</t>
        </is>
      </c>
      <c r="J57" s="42" t="inlineStr">
        <is>
          <t>10
الأربعاء</t>
        </is>
      </c>
      <c r="K57" s="42" t="inlineStr">
        <is>
          <t>11
الخميس</t>
        </is>
      </c>
      <c r="L57" s="42" t="inlineStr">
        <is>
          <t>14
الأحد</t>
        </is>
      </c>
      <c r="M57" s="42" t="inlineStr">
        <is>
          <t>15
الإثنين</t>
        </is>
      </c>
      <c r="N57" s="42" t="inlineStr">
        <is>
          <t>16
الثلاثاء</t>
        </is>
      </c>
      <c r="O57" s="42" t="inlineStr">
        <is>
          <t>17
الأربعاء</t>
        </is>
      </c>
      <c r="P57" s="42" t="inlineStr">
        <is>
          <t>18
الخميس</t>
        </is>
      </c>
      <c r="Q57" s="42" t="inlineStr">
        <is>
          <t>21
الأحد</t>
        </is>
      </c>
      <c r="R57" s="42" t="inlineStr">
        <is>
          <t>22
الإثنين</t>
        </is>
      </c>
      <c r="S57" s="42" t="inlineStr">
        <is>
          <t>23
الثلاثاء</t>
        </is>
      </c>
      <c r="T57" s="42" t="inlineStr">
        <is>
          <t>24
الأربعاء</t>
        </is>
      </c>
      <c r="U57" s="42" t="inlineStr">
        <is>
          <t>25
الخميس</t>
        </is>
      </c>
      <c r="V57" s="42" t="inlineStr">
        <is>
          <t>28
الأحد</t>
        </is>
      </c>
      <c r="W57" s="42" t="inlineStr">
        <is>
          <t>29
الإثنين</t>
        </is>
      </c>
      <c r="X57" s="42" t="inlineStr">
        <is>
          <t>30
الثلاثاء</t>
        </is>
      </c>
    </row>
    <row r="58">
      <c r="B58" s="43" t="inlineStr">
        <is>
          <t>شكرية كنكار</t>
        </is>
      </c>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row>
    <row r="59">
      <c r="B59" s="43" t="inlineStr">
        <is>
          <t>نايف الجلال</t>
        </is>
      </c>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row>
    <row r="60">
      <c r="B60" s="43" t="inlineStr">
        <is>
          <t>عبد العزيز المعجل</t>
        </is>
      </c>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row>
    <row r="61">
      <c r="B61" s="43" t="inlineStr">
        <is>
          <t>صالح الغفيلي</t>
        </is>
      </c>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row>
    <row r="62">
      <c r="B62" s="43" t="inlineStr">
        <is>
          <t>مشعل محمد</t>
        </is>
      </c>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row>
    <row r="64">
      <c r="B64" s="23" t="inlineStr">
        <is>
          <t>شهر يوليو 2026</t>
        </is>
      </c>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c r="B65" s="29" t="inlineStr">
        <is>
          <t>الموظف</t>
        </is>
      </c>
      <c r="C65" s="42" t="inlineStr">
        <is>
          <t>1
الأربعاء</t>
        </is>
      </c>
      <c r="D65" s="42" t="inlineStr">
        <is>
          <t>2
الخميس</t>
        </is>
      </c>
      <c r="E65" s="42" t="inlineStr">
        <is>
          <t>5
الأحد</t>
        </is>
      </c>
      <c r="F65" s="42" t="inlineStr">
        <is>
          <t>6
الإثنين</t>
        </is>
      </c>
      <c r="G65" s="42" t="inlineStr">
        <is>
          <t>7
الثلاثاء</t>
        </is>
      </c>
      <c r="H65" s="42" t="inlineStr">
        <is>
          <t>8
الأربعاء</t>
        </is>
      </c>
      <c r="I65" s="42" t="inlineStr">
        <is>
          <t>9
الخميس</t>
        </is>
      </c>
      <c r="J65" s="42" t="inlineStr">
        <is>
          <t>12
الأحد</t>
        </is>
      </c>
      <c r="K65" s="42" t="inlineStr">
        <is>
          <t>13
الإثنين</t>
        </is>
      </c>
      <c r="L65" s="42" t="inlineStr">
        <is>
          <t>14
الثلاثاء</t>
        </is>
      </c>
      <c r="M65" s="42" t="inlineStr">
        <is>
          <t>15
الأربعاء</t>
        </is>
      </c>
      <c r="N65" s="42" t="inlineStr">
        <is>
          <t>16
الخميس</t>
        </is>
      </c>
      <c r="O65" s="42" t="inlineStr">
        <is>
          <t>19
الأحد</t>
        </is>
      </c>
      <c r="P65" s="42" t="inlineStr">
        <is>
          <t>20
الإثنين</t>
        </is>
      </c>
      <c r="Q65" s="42" t="inlineStr">
        <is>
          <t>21
الثلاثاء</t>
        </is>
      </c>
      <c r="R65" s="42" t="inlineStr">
        <is>
          <t>22
الأربعاء</t>
        </is>
      </c>
      <c r="S65" s="42" t="inlineStr">
        <is>
          <t>23
الخميس</t>
        </is>
      </c>
      <c r="T65" s="42" t="inlineStr">
        <is>
          <t>26
الأحد</t>
        </is>
      </c>
      <c r="U65" s="42" t="inlineStr">
        <is>
          <t>27
الإثنين</t>
        </is>
      </c>
      <c r="V65" s="42" t="inlineStr">
        <is>
          <t>28
الثلاثاء</t>
        </is>
      </c>
      <c r="W65" s="42" t="inlineStr">
        <is>
          <t>29
الأربعاء</t>
        </is>
      </c>
      <c r="X65" s="42" t="inlineStr">
        <is>
          <t>30
الخميس</t>
        </is>
      </c>
    </row>
    <row r="66">
      <c r="B66" s="43" t="inlineStr">
        <is>
          <t>شكرية كنكار</t>
        </is>
      </c>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row>
    <row r="67">
      <c r="B67" s="43" t="inlineStr">
        <is>
          <t>نايف الجلال</t>
        </is>
      </c>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row>
    <row r="68">
      <c r="B68" s="43" t="inlineStr">
        <is>
          <t>عبد العزيز المعجل</t>
        </is>
      </c>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row>
    <row r="69">
      <c r="B69" s="43" t="inlineStr">
        <is>
          <t>صالح الغفيلي</t>
        </is>
      </c>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row>
    <row r="70">
      <c r="B70" s="43" t="inlineStr">
        <is>
          <t>مشعل محمد</t>
        </is>
      </c>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row>
    <row r="72">
      <c r="B72" s="23" t="inlineStr">
        <is>
          <t>شهر أغسطس 2026</t>
        </is>
      </c>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c r="B73" s="29" t="inlineStr">
        <is>
          <t>الموظف</t>
        </is>
      </c>
      <c r="C73" s="42" t="inlineStr">
        <is>
          <t>2
الأحد</t>
        </is>
      </c>
      <c r="D73" s="42" t="inlineStr">
        <is>
          <t>3
الإثنين</t>
        </is>
      </c>
      <c r="E73" s="42" t="inlineStr">
        <is>
          <t>4
الثلاثاء</t>
        </is>
      </c>
      <c r="F73" s="42" t="inlineStr">
        <is>
          <t>5
الأربعاء</t>
        </is>
      </c>
      <c r="G73" s="42" t="inlineStr">
        <is>
          <t>6
الخميس</t>
        </is>
      </c>
      <c r="H73" s="42" t="inlineStr">
        <is>
          <t>9
الأحد</t>
        </is>
      </c>
      <c r="I73" s="42" t="inlineStr">
        <is>
          <t>10
الإثنين</t>
        </is>
      </c>
      <c r="J73" s="42" t="inlineStr">
        <is>
          <t>11
الثلاثاء</t>
        </is>
      </c>
      <c r="K73" s="42" t="inlineStr">
        <is>
          <t>12
الأربعاء</t>
        </is>
      </c>
      <c r="L73" s="42" t="inlineStr">
        <is>
          <t>13
الخميس</t>
        </is>
      </c>
      <c r="M73" s="42" t="inlineStr">
        <is>
          <t>16
الأحد</t>
        </is>
      </c>
      <c r="N73" s="42" t="inlineStr">
        <is>
          <t>17
الإثنين</t>
        </is>
      </c>
      <c r="O73" s="42" t="inlineStr">
        <is>
          <t>18
الثلاثاء</t>
        </is>
      </c>
      <c r="P73" s="42" t="inlineStr">
        <is>
          <t>19
الأربعاء</t>
        </is>
      </c>
      <c r="Q73" s="42" t="inlineStr">
        <is>
          <t>20
الخميس</t>
        </is>
      </c>
      <c r="R73" s="42" t="inlineStr">
        <is>
          <t>23
الأحد</t>
        </is>
      </c>
      <c r="S73" s="42" t="inlineStr">
        <is>
          <t>24
الإثنين</t>
        </is>
      </c>
      <c r="T73" s="42" t="inlineStr">
        <is>
          <t>25
الثلاثاء</t>
        </is>
      </c>
      <c r="U73" s="42" t="inlineStr">
        <is>
          <t>26
الأربعاء</t>
        </is>
      </c>
      <c r="V73" s="42" t="inlineStr">
        <is>
          <t>27
الخميس</t>
        </is>
      </c>
      <c r="W73" s="42" t="inlineStr">
        <is>
          <t>30
الأحد</t>
        </is>
      </c>
      <c r="X73" s="42" t="inlineStr">
        <is>
          <t>31
الإثنين</t>
        </is>
      </c>
    </row>
    <row r="74">
      <c r="B74" s="43" t="inlineStr">
        <is>
          <t>شكرية كنكار</t>
        </is>
      </c>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row>
    <row r="75">
      <c r="B75" s="43" t="inlineStr">
        <is>
          <t>نايف الجلال</t>
        </is>
      </c>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row>
    <row r="76">
      <c r="B76" s="43" t="inlineStr">
        <is>
          <t>عبد العزيز المعجل</t>
        </is>
      </c>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row>
    <row r="77">
      <c r="B77" s="43" t="inlineStr">
        <is>
          <t>صالح الغفيلي</t>
        </is>
      </c>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row>
    <row r="78">
      <c r="B78" s="43" t="inlineStr">
        <is>
          <t>مشعل محمد</t>
        </is>
      </c>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row>
    <row r="80">
      <c r="B80" s="23" t="inlineStr">
        <is>
          <t>شهر سبتمبر 2026</t>
        </is>
      </c>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c r="B81" s="29" t="inlineStr">
        <is>
          <t>الموظف</t>
        </is>
      </c>
      <c r="C81" s="42" t="inlineStr">
        <is>
          <t>1
الثلاثاء</t>
        </is>
      </c>
      <c r="D81" s="42" t="inlineStr">
        <is>
          <t>2
الأربعاء</t>
        </is>
      </c>
      <c r="E81" s="42" t="inlineStr">
        <is>
          <t>3
الخميس</t>
        </is>
      </c>
      <c r="F81" s="42" t="inlineStr">
        <is>
          <t>6
الأحد</t>
        </is>
      </c>
      <c r="G81" s="42" t="inlineStr">
        <is>
          <t>7
الإثنين</t>
        </is>
      </c>
      <c r="H81" s="42" t="inlineStr">
        <is>
          <t>8
الثلاثاء</t>
        </is>
      </c>
      <c r="I81" s="42" t="inlineStr">
        <is>
          <t>9
الأربعاء</t>
        </is>
      </c>
      <c r="J81" s="42" t="inlineStr">
        <is>
          <t>10
الخميس</t>
        </is>
      </c>
      <c r="K81" s="42" t="inlineStr">
        <is>
          <t>13
الأحد</t>
        </is>
      </c>
      <c r="L81" s="42" t="inlineStr">
        <is>
          <t>14
الإثنين</t>
        </is>
      </c>
      <c r="M81" s="42" t="inlineStr">
        <is>
          <t>15
الثلاثاء</t>
        </is>
      </c>
      <c r="N81" s="42" t="inlineStr">
        <is>
          <t>16
الأربعاء</t>
        </is>
      </c>
      <c r="O81" s="42" t="inlineStr">
        <is>
          <t>17
الخميس</t>
        </is>
      </c>
      <c r="P81" s="42" t="inlineStr">
        <is>
          <t>20
الأحد</t>
        </is>
      </c>
      <c r="Q81" s="42" t="inlineStr">
        <is>
          <t>21
الإثنين</t>
        </is>
      </c>
      <c r="R81" s="42" t="inlineStr">
        <is>
          <t>22
الثلاثاء</t>
        </is>
      </c>
      <c r="S81" s="42" t="inlineStr">
        <is>
          <t>23
الأربعاء</t>
        </is>
      </c>
      <c r="T81" s="42" t="inlineStr">
        <is>
          <t>24
الخميس</t>
        </is>
      </c>
      <c r="U81" s="42" t="inlineStr">
        <is>
          <t>27
الأحد</t>
        </is>
      </c>
      <c r="V81" s="42" t="inlineStr">
        <is>
          <t>28
الإثنين</t>
        </is>
      </c>
      <c r="W81" s="42" t="inlineStr">
        <is>
          <t>29
الثلاثاء</t>
        </is>
      </c>
      <c r="X81" s="42" t="inlineStr">
        <is>
          <t>30
الأربعاء</t>
        </is>
      </c>
    </row>
    <row r="82">
      <c r="B82" s="43" t="inlineStr">
        <is>
          <t>شكرية كنكار</t>
        </is>
      </c>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row>
    <row r="83">
      <c r="B83" s="43" t="inlineStr">
        <is>
          <t>نايف الجلال</t>
        </is>
      </c>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row>
    <row r="84">
      <c r="B84" s="43" t="inlineStr">
        <is>
          <t>عبد العزيز المعجل</t>
        </is>
      </c>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row>
    <row r="85">
      <c r="B85" s="43" t="inlineStr">
        <is>
          <t>صالح الغفيلي</t>
        </is>
      </c>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row>
    <row r="86">
      <c r="B86" s="43" t="inlineStr">
        <is>
          <t>مشعل محمد</t>
        </is>
      </c>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row>
    <row r="88">
      <c r="B88" s="23" t="inlineStr">
        <is>
          <t>شهر أكتوبر 2026</t>
        </is>
      </c>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c r="B89" s="29" t="inlineStr">
        <is>
          <t>الموظف</t>
        </is>
      </c>
      <c r="C89" s="42" t="inlineStr">
        <is>
          <t>1
الخميس</t>
        </is>
      </c>
      <c r="D89" s="42" t="inlineStr">
        <is>
          <t>4
الأحد</t>
        </is>
      </c>
      <c r="E89" s="42" t="inlineStr">
        <is>
          <t>5
الإثنين</t>
        </is>
      </c>
      <c r="F89" s="42" t="inlineStr">
        <is>
          <t>6
الثلاثاء</t>
        </is>
      </c>
      <c r="G89" s="42" t="inlineStr">
        <is>
          <t>7
الأربعاء</t>
        </is>
      </c>
      <c r="H89" s="42" t="inlineStr">
        <is>
          <t>8
الخميس</t>
        </is>
      </c>
      <c r="I89" s="42" t="inlineStr">
        <is>
          <t>11
الأحد</t>
        </is>
      </c>
      <c r="J89" s="42" t="inlineStr">
        <is>
          <t>12
الإثنين</t>
        </is>
      </c>
      <c r="K89" s="42" t="inlineStr">
        <is>
          <t>13
الثلاثاء</t>
        </is>
      </c>
      <c r="L89" s="42" t="inlineStr">
        <is>
          <t>14
الأربعاء</t>
        </is>
      </c>
      <c r="M89" s="42" t="inlineStr">
        <is>
          <t>15
الخميس</t>
        </is>
      </c>
      <c r="N89" s="42" t="inlineStr">
        <is>
          <t>18
الأحد</t>
        </is>
      </c>
      <c r="O89" s="42" t="inlineStr">
        <is>
          <t>19
الإثنين</t>
        </is>
      </c>
      <c r="P89" s="42" t="inlineStr">
        <is>
          <t>20
الثلاثاء</t>
        </is>
      </c>
      <c r="Q89" s="42" t="inlineStr">
        <is>
          <t>21
الأربعاء</t>
        </is>
      </c>
      <c r="R89" s="42" t="inlineStr">
        <is>
          <t>22
الخميس</t>
        </is>
      </c>
      <c r="S89" s="42" t="inlineStr">
        <is>
          <t>25
الأحد</t>
        </is>
      </c>
      <c r="T89" s="42" t="inlineStr">
        <is>
          <t>26
الإثنين</t>
        </is>
      </c>
      <c r="U89" s="42" t="inlineStr">
        <is>
          <t>27
الثلاثاء</t>
        </is>
      </c>
      <c r="V89" s="42" t="inlineStr">
        <is>
          <t>28
الأربعاء</t>
        </is>
      </c>
      <c r="W89" s="42" t="inlineStr">
        <is>
          <t>29
الخميس</t>
        </is>
      </c>
    </row>
    <row r="90">
      <c r="B90" s="43" t="inlineStr">
        <is>
          <t>شكرية كنكار</t>
        </is>
      </c>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row>
    <row r="91">
      <c r="B91" s="43" t="inlineStr">
        <is>
          <t>نايف الجلال</t>
        </is>
      </c>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row>
    <row r="92">
      <c r="B92" s="43" t="inlineStr">
        <is>
          <t>عبد العزيز المعجل</t>
        </is>
      </c>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row>
    <row r="93">
      <c r="B93" s="43" t="inlineStr">
        <is>
          <t>صالح الغفيلي</t>
        </is>
      </c>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row>
    <row r="94">
      <c r="B94" s="43" t="inlineStr">
        <is>
          <t>مشعل محمد</t>
        </is>
      </c>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row>
    <row r="96">
      <c r="B96" s="23" t="inlineStr">
        <is>
          <t>شهر نوفمبر 2026</t>
        </is>
      </c>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c r="B97" s="29" t="inlineStr">
        <is>
          <t>الموظف</t>
        </is>
      </c>
      <c r="C97" s="42" t="inlineStr">
        <is>
          <t>1
الأحد</t>
        </is>
      </c>
      <c r="D97" s="42" t="inlineStr">
        <is>
          <t>2
الإثنين</t>
        </is>
      </c>
      <c r="E97" s="42" t="inlineStr">
        <is>
          <t>3
الثلاثاء</t>
        </is>
      </c>
      <c r="F97" s="42" t="inlineStr">
        <is>
          <t>4
الأربعاء</t>
        </is>
      </c>
      <c r="G97" s="42" t="inlineStr">
        <is>
          <t>5
الخميس</t>
        </is>
      </c>
      <c r="H97" s="42" t="inlineStr">
        <is>
          <t>8
الأحد</t>
        </is>
      </c>
      <c r="I97" s="42" t="inlineStr">
        <is>
          <t>9
الإثنين</t>
        </is>
      </c>
      <c r="J97" s="42" t="inlineStr">
        <is>
          <t>10
الثلاثاء</t>
        </is>
      </c>
      <c r="K97" s="42" t="inlineStr">
        <is>
          <t>11
الأربعاء</t>
        </is>
      </c>
      <c r="L97" s="42" t="inlineStr">
        <is>
          <t>12
الخميس</t>
        </is>
      </c>
      <c r="M97" s="42" t="inlineStr">
        <is>
          <t>15
الأحد</t>
        </is>
      </c>
      <c r="N97" s="42" t="inlineStr">
        <is>
          <t>16
الإثنين</t>
        </is>
      </c>
      <c r="O97" s="42" t="inlineStr">
        <is>
          <t>17
الثلاثاء</t>
        </is>
      </c>
      <c r="P97" s="42" t="inlineStr">
        <is>
          <t>18
الأربعاء</t>
        </is>
      </c>
      <c r="Q97" s="42" t="inlineStr">
        <is>
          <t>19
الخميس</t>
        </is>
      </c>
      <c r="R97" s="42" t="inlineStr">
        <is>
          <t>22
الأحد</t>
        </is>
      </c>
      <c r="S97" s="42" t="inlineStr">
        <is>
          <t>23
الإثنين</t>
        </is>
      </c>
      <c r="T97" s="42" t="inlineStr">
        <is>
          <t>24
الثلاثاء</t>
        </is>
      </c>
      <c r="U97" s="42" t="inlineStr">
        <is>
          <t>25
الأربعاء</t>
        </is>
      </c>
      <c r="V97" s="42" t="inlineStr">
        <is>
          <t>26
الخميس</t>
        </is>
      </c>
      <c r="W97" s="42" t="inlineStr">
        <is>
          <t>29
الأحد</t>
        </is>
      </c>
      <c r="X97" s="42" t="inlineStr">
        <is>
          <t>30
الإثنين</t>
        </is>
      </c>
    </row>
    <row r="98">
      <c r="B98" s="43" t="inlineStr">
        <is>
          <t>شكرية كنكار</t>
        </is>
      </c>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row>
    <row r="99">
      <c r="B99" s="43" t="inlineStr">
        <is>
          <t>نايف الجلال</t>
        </is>
      </c>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row>
    <row r="100">
      <c r="B100" s="43" t="inlineStr">
        <is>
          <t>عبد العزيز المعجل</t>
        </is>
      </c>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row>
    <row r="101">
      <c r="B101" s="43" t="inlineStr">
        <is>
          <t>صالح الغفيلي</t>
        </is>
      </c>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row>
    <row r="102">
      <c r="B102" s="43" t="inlineStr">
        <is>
          <t>مشعل محمد</t>
        </is>
      </c>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row>
    <row r="104">
      <c r="B104" s="23" t="inlineStr">
        <is>
          <t>شهر ديسمبر 2026</t>
        </is>
      </c>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c r="B105" s="29" t="inlineStr">
        <is>
          <t>الموظف</t>
        </is>
      </c>
      <c r="C105" s="42" t="inlineStr">
        <is>
          <t>1
الثلاثاء</t>
        </is>
      </c>
      <c r="D105" s="42" t="inlineStr">
        <is>
          <t>2
الأربعاء</t>
        </is>
      </c>
      <c r="E105" s="42" t="inlineStr">
        <is>
          <t>3
الخميس</t>
        </is>
      </c>
      <c r="F105" s="42" t="inlineStr">
        <is>
          <t>6
الأحد</t>
        </is>
      </c>
      <c r="G105" s="42" t="inlineStr">
        <is>
          <t>7
الإثنين</t>
        </is>
      </c>
      <c r="H105" s="42" t="inlineStr">
        <is>
          <t>8
الثلاثاء</t>
        </is>
      </c>
      <c r="I105" s="42" t="inlineStr">
        <is>
          <t>9
الأربعاء</t>
        </is>
      </c>
      <c r="J105" s="42" t="inlineStr">
        <is>
          <t>10
الخميس</t>
        </is>
      </c>
      <c r="K105" s="42" t="inlineStr">
        <is>
          <t>13
الأحد</t>
        </is>
      </c>
      <c r="L105" s="42" t="inlineStr">
        <is>
          <t>14
الإثنين</t>
        </is>
      </c>
      <c r="M105" s="42" t="inlineStr">
        <is>
          <t>15
الثلاثاء</t>
        </is>
      </c>
      <c r="N105" s="42" t="inlineStr">
        <is>
          <t>16
الأربعاء</t>
        </is>
      </c>
      <c r="O105" s="42" t="inlineStr">
        <is>
          <t>17
الخميس</t>
        </is>
      </c>
      <c r="P105" s="42" t="inlineStr">
        <is>
          <t>20
الأحد</t>
        </is>
      </c>
      <c r="Q105" s="42" t="inlineStr">
        <is>
          <t>21
الإثنين</t>
        </is>
      </c>
      <c r="R105" s="42" t="inlineStr">
        <is>
          <t>22
الثلاثاء</t>
        </is>
      </c>
      <c r="S105" s="42" t="inlineStr">
        <is>
          <t>23
الأربعاء</t>
        </is>
      </c>
      <c r="T105" s="42" t="inlineStr">
        <is>
          <t>24
الخميس</t>
        </is>
      </c>
      <c r="U105" s="42" t="inlineStr">
        <is>
          <t>27
الأحد</t>
        </is>
      </c>
      <c r="V105" s="42" t="inlineStr">
        <is>
          <t>28
الإثنين</t>
        </is>
      </c>
      <c r="W105" s="42" t="inlineStr">
        <is>
          <t>29
الثلاثاء</t>
        </is>
      </c>
      <c r="X105" s="42" t="inlineStr">
        <is>
          <t>30
الأربعاء</t>
        </is>
      </c>
      <c r="Y105" s="42" t="inlineStr">
        <is>
          <t>31
الخميس</t>
        </is>
      </c>
    </row>
    <row r="106">
      <c r="B106" s="43" t="inlineStr">
        <is>
          <t>شكرية كنكار</t>
        </is>
      </c>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row>
    <row r="107">
      <c r="B107" s="43" t="inlineStr">
        <is>
          <t>نايف الجلال</t>
        </is>
      </c>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row>
    <row r="108">
      <c r="B108" s="43" t="inlineStr">
        <is>
          <t>عبد العزيز المعجل</t>
        </is>
      </c>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row>
    <row r="109">
      <c r="B109" s="43" t="inlineStr">
        <is>
          <t>صالح الغفيلي</t>
        </is>
      </c>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row>
    <row r="110">
      <c r="B110" s="43" t="inlineStr">
        <is>
          <t>مشعل محمد</t>
        </is>
      </c>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row>
  </sheetData>
  <mergeCells count="15">
    <mergeCell ref="B7:J7"/>
    <mergeCell ref="B40:AB40"/>
    <mergeCell ref="B56:AB56"/>
    <mergeCell ref="B88:AB88"/>
    <mergeCell ref="B96:AB96"/>
    <mergeCell ref="B48:AB48"/>
    <mergeCell ref="B64:AB64"/>
    <mergeCell ref="B24:AB24"/>
    <mergeCell ref="B16:AB16"/>
    <mergeCell ref="B2:AB2"/>
    <mergeCell ref="B72:AB72"/>
    <mergeCell ref="B104:AB104"/>
    <mergeCell ref="B4:J4"/>
    <mergeCell ref="B80:AB80"/>
    <mergeCell ref="B32:AB32"/>
  </mergeCells>
  <dataValidations count="1">
    <dataValidation sqref="C18 C19 C20 C21 C22 C26 C27 C28 C29 C30 C34 C35 C36 C37 C38 C42 C43 C44 C45 C46 C50 C51 C52 C53 C54 C58 C59 C60 C61 C62 C66 C67 C68 C69 C70 C74 C75 C76 C77 C78 C82 C83 C84 C85 C86 C90 C91 C92 C93 C94 C98 C99 C100 C101 C102 C106 C107 C108 C109 C110 D18 D19 D20 D21 D22 D26 D27 D28 D29 D30 D34 D35 D36 D37 D38 D42 D43 D44 D45 D46 D50 D51 D52 D53 D54 D58 D59 D60 D61 D62 D66 D67 D68 D69 D70 D74 D75 D76 D77 D78 D82 D83 D84 D85 D86 D90 D91 D92 D93 D94 D98 D99 D100 D101 D102 D106 D107 D108 D109 D110 E18 E19 E20 E21 E22 E26 E27 E28 E29 E30 E34 E35 E36 E37 E38 E42 E43 E44 E45 E46 E50 E51 E52 E53 E54 E58 E59 E60 E61 E62 E66 E67 E68 E69 E70 E74 E75 E76 E77 E78 E82 E83 E84 E85 E86 E90 E91 E92 E93 E94 E98 E99 E100 E101 E102 E106 E107 E108 E109 E110 F18 F19 F20 F21 F22 F26 F27 F28 F29 F30 F34 F35 F36 F37 F38 F42 F43 F44 F45 F46 F50 F51 F52 F53 F54 F58 F59 F60 F61 F62 F66 F67 F68 F69 F70 F74 F75 F76 F77 F78 F82 F83 F84 F85 F86 F90 F91 F92 F93 F94 F98 F99 F100 F101 F102 F106 F107 F108 F109 F110 G18 G19 G20 G21 G22 G26 G27 G28 G29 G30 G34 G35 G36 G37 G38 G42 G43 G44 G45 G46 G50 G51 G52 G53 G54 G58 G59 G60 G61 G62 G66 G67 G68 G69 G70 G74 G75 G76 G77 G78 G82 G83 G84 G85 G86 G90 G91 G92 G93 G94 G98 G99 G100 G101 G102 G106 G107 G108 G109 G110 H18 H19 H20 H21 H22 H26 H27 H28 H29 H30 H34 H35 H36 H37 H38 H42 H43 H44 H45 H46 H50 H51 H52 H53 H54 H58 H59 H60 H61 H62 H66 H67 H68 H69 H70 H74 H75 H76 H77 H78 H82 H83 H84 H85 H86 H90 H91 H92 H93 H94 H98 H99 H100 H101 H102 H106 H107 H108 H109 H110 I18 I19 I20 I21 I22 I26 I27 I28 I29 I30 I34 I35 I36 I37 I38 I42 I43 I44 I45 I46 I50 I51 I52 I53 I54 I58 I59 I60 I61 I62 I66 I67 I68 I69 I70 I74 I75 I76 I77 I78 I82 I83 I84 I85 I86 I90 I91 I92 I93 I94 I98 I99 I100 I101 I102 I106 I107 I108 I109 I110 J18 J19 J20 J21 J22 J26 J27 J28 J29 J30 J34 J35 J36 J37 J38 J42 J43 J44 J45 J46 J50 J51 J52 J53 J54 J58 J59 J60 J61 J62 J66 J67 J68 J69 J70 J74 J75 J76 J77 J78 J82 J83 J84 J85 J86 J90 J91 J92 J93 J94 J98 J99 J100 J101 J102 J106 J107 J108 J109 J110 K18 K19 K20 K21 K22 K26 K27 K28 K29 K30 K34 K35 K36 K37 K38 K42 K43 K44 K45 K46 K50 K51 K52 K53 K54 K58 K59 K60 K61 K62 K66 K67 K68 K69 K70 K74 K75 K76 K77 K78 K82 K83 K84 K85 K86 K90 K91 K92 K93 K94 K98 K99 K100 K101 K102 K106 K107 K108 K109 K110 L18 L19 L20 L21 L22 L26 L27 L28 L29 L30 L34 L35 L36 L37 L38 L42 L43 L44 L45 L46 L50 L51 L52 L53 L54 L58 L59 L60 L61 L62 L66 L67 L68 L69 L70 L74 L75 L76 L77 L78 L82 L83 L84 L85 L86 L90 L91 L92 L93 L94 L98 L99 L100 L101 L102 L106 L107 L108 L109 L110 M18 M19 M20 M21 M22 M26 M27 M28 M29 M30 M34 M35 M36 M37 M38 M42 M43 M44 M45 M46 M50 M51 M52 M53 M54 M58 M59 M60 M61 M62 M66 M67 M68 M69 M70 M74 M75 M76 M77 M78 M82 M83 M84 M85 M86 M90 M91 M92 M93 M94 M98 M99 M100 M101 M102 M106 M107 M108 M109 M110 N18 N19 N20 N21 N22 N26 N27 N28 N29 N30 N34 N35 N36 N37 N38 N42 N43 N44 N45 N46 N50 N51 N52 N53 N54 N58 N59 N60 N61 N62 N66 N67 N68 N69 N70 N74 N75 N76 N77 N78 N82 N83 N84 N85 N86 N90 N91 N92 N93 N94 N98 N99 N100 N101 N102 N106 N107 N108 N109 N110 O18 O19 O20 O21 O22 O26 O27 O28 O29 O30 O34 O35 O36 O37 O38 O42 O43 O44 O45 O46 O50 O51 O52 O53 O54 O58 O59 O60 O61 O62 O66 O67 O68 O69 O70 O74 O75 O76 O77 O78 O82 O83 O84 O85 O86 O90 O91 O92 O93 O94 O98 O99 O100 O101 O102 O106 O107 O108 O109 O110 P18 P19 P20 P21 P22 P26 P27 P28 P29 P30 P34 P35 P36 P37 P38 P42 P43 P44 P45 P46 P50 P51 P52 P53 P54 P58 P59 P60 P61 P62 P66 P67 P68 P69 P70 P74 P75 P76 P77 P78 P82 P83 P84 P85 P86 P90 P91 P92 P93 P94 P98 P99 P100 P101 P102 P106 P107 P108 P109 P110 Q18 Q19 Q20 Q21 Q22 Q26 Q27 Q28 Q29 Q30 Q34 Q35 Q36 Q37 Q38 Q42 Q43 Q44 Q45 Q46 Q50 Q51 Q52 Q53 Q54 Q58 Q59 Q60 Q61 Q62 Q66 Q67 Q68 Q69 Q70 Q74 Q75 Q76 Q77 Q78 Q82 Q83 Q84 Q85 Q86 Q90 Q91 Q92 Q93 Q94 Q98 Q99 Q100 Q101 Q102 Q106 Q107 Q108 Q109 Q110 R18 R19 R20 R21 R22 R26 R27 R28 R29 R30 R34 R35 R36 R37 R38 R42 R43 R44 R45 R46 R50 R51 R52 R53 R54 R58 R59 R60 R61 R62 R66 R67 R68 R69 R70 R74 R75 R76 R77 R78 R82 R83 R84 R85 R86 R90 R91 R92 R93 R94 R98 R99 R100 R101 R102 R106 R107 R108 R109 R110 S18 S19 S20 S21 S22 S26 S27 S28 S29 S30 S34 S35 S36 S37 S38 S42 S43 S44 S45 S46 S50 S51 S52 S53 S54 S58 S59 S60 S61 S62 S66 S67 S68 S69 S70 S74 S75 S76 S77 S78 S82 S83 S84 S85 S86 S90 S91 S92 S93 S94 S98 S99 S100 S101 S102 S106 S107 S108 S109 S110 T18 T19 T20 T21 T22 T26 T27 T28 T29 T30 T34 T35 T36 T37 T38 T42 T43 T44 T45 T46 T50 T51 T52 T53 T54 T58 T59 T60 T61 T62 T66 T67 T68 T69 T70 T74 T75 T76 T77 T78 T82 T83 T84 T85 T86 T90 T91 T92 T93 T94 T98 T99 T100 T101 T102 T106 T107 T108 T109 T110 U18 U19 U20 U21 U22 U26 U27 U28 U29 U30 U34 U35 U36 U37 U38 U42 U43 U44 U45 U46 U50 U51 U52 U53 U54 U58 U59 U60 U61 U62 U66 U67 U68 U69 U70 U74 U75 U76 U77 U78 U82 U83 U84 U85 U86 U90 U91 U92 U93 U94 U98 U99 U100 U101 U102 U106 U107 U108 U109 U110 V18 V19 V20 V21 V22 V26 V27 V28 V29 V30 V34 V35 V36 V37 V38 V42 V43 V44 V45 V46 V50 V51 V52 V53 V54 V58 V59 V60 V61 V62 V66 V67 V68 V69 V70 V74 V75 V76 V77 V78 V82 V83 V84 V85 V86 V90 V91 V92 V93 V94 V98 V99 V100 V101 V102 V106 V107 V108 V109 V110 W18 W19 W20 W21 W22 W34 W35 W36 W37 W38 W42 W43 W44 W45 W46 W50 W51 W52 W53 W54 W58 W59 W60 W61 W62 W66 W67 W68 W69 W70 W74 W75 W76 W77 W78 W82 W83 W84 W85 W86 W90 W91 W92 W93 W94 W98 W99 W100 W101 W102 W106 W107 W108 W109 W110 X34 X35 X36 X37 X38 X42 X43 X44 X45 X46 X58 X59 X60 X61 X62 X66 X67 X68 X69 X70 X74 X75 X76 X77 X78 X82 X83 X84 X85 X86 X98 X99 X100 X101 X102 X106 X107 X108 X109 X110 Y34 Y35 Y36 Y37 Y38 Y106 Y107 Y108 Y109 Y110" showDropDown="0" showInputMessage="0" showErrorMessage="0" allowBlank="1" promptTitle="الحضور" prompt="اختر حالة الحضور" type="list">
      <formula1>"✔,✘,🤒,🌴,🏠,⏱"</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C62828"/>
    <outlinePr summaryBelow="1" summaryRight="1"/>
    <pageSetUpPr/>
  </sheetPr>
  <dimension ref="B1:E33"/>
  <sheetViews>
    <sheetView rightToLeft="1" workbookViewId="0">
      <selection activeCell="A1" sqref="A1"/>
    </sheetView>
  </sheetViews>
  <sheetFormatPr baseColWidth="8" defaultRowHeight="15"/>
  <cols>
    <col width="5" customWidth="1" min="1" max="1"/>
    <col width="8" customWidth="1" min="2" max="2"/>
    <col width="22" customWidth="1" min="3" max="3"/>
    <col width="80" customWidth="1" min="4" max="4"/>
    <col width="15" customWidth="1" min="5" max="5"/>
  </cols>
  <sheetData>
    <row r="1">
      <c r="B1" s="45" t="inlineStr">
        <is>
          <t>الأهداف السنوية للموظفين - سري</t>
        </is>
      </c>
      <c r="C1" s="4" t="n"/>
      <c r="D1" s="4" t="n"/>
      <c r="E1" s="4" t="n"/>
    </row>
    <row r="2">
      <c r="B2" s="46" t="inlineStr">
        <is>
          <t>هذه الصفحة محمية بكلمة مرور - للمدير فقط</t>
        </is>
      </c>
    </row>
    <row r="4">
      <c r="B4" s="47" t="inlineStr">
        <is>
          <t>#</t>
        </is>
      </c>
      <c r="C4" s="47" t="inlineStr">
        <is>
          <t>الموظف</t>
        </is>
      </c>
      <c r="D4" s="47" t="inlineStr">
        <is>
          <t>الهدف السنوي</t>
        </is>
      </c>
      <c r="E4" s="47" t="inlineStr">
        <is>
          <t>الوزن</t>
        </is>
      </c>
    </row>
    <row r="5" ht="50" customHeight="1">
      <c r="B5" s="15" t="n">
        <v>1</v>
      </c>
      <c r="C5" s="16" t="inlineStr">
        <is>
          <t>شكرية كنكار</t>
        </is>
      </c>
      <c r="D5" s="17" t="inlineStr">
        <is>
          <t>إنجاز اكتمال واغلاق المشاريع للمحافظ التالية (المالية, الحوكمة والمخاطر والالتزام وحوكمة البيانات والمنافع) بنسبة 100% مع عكس البيانات الصحيحة للمشاريع في منصة ميسر ومشروعي حتى نهاية ديسمبر 2026</t>
        </is>
      </c>
      <c r="E5" s="15" t="inlineStr">
        <is>
          <t>20%</t>
        </is>
      </c>
    </row>
    <row r="6" ht="50" customHeight="1">
      <c r="B6" s="15" t="n">
        <v>2</v>
      </c>
      <c r="C6" s="4" t="n"/>
      <c r="D6" s="17" t="inlineStr">
        <is>
          <t>تحقيق الالتزام بخطة الصرف المالية مع الالتزام بالجدول الزمني للمشاريع كما هو مخطط له بنسبة 100% للمشاريع المتعاقد عليها للمحافظ التالية (المالية, الحوكمة والمخاطر والالتزام وحوكمة البيانات, المنافع والنتائج الصحية) بحلول نهاية ديسمبر لعام 2026</t>
        </is>
      </c>
      <c r="E6" s="15" t="inlineStr">
        <is>
          <t>20%</t>
        </is>
      </c>
    </row>
    <row r="7" ht="50" customHeight="1">
      <c r="B7" s="15" t="n">
        <v>3</v>
      </c>
      <c r="C7" s="4" t="n"/>
      <c r="D7" s="17" t="inlineStr">
        <is>
          <t>تحقيق الالتزام بإغلاق كافة التغييرات والمخاطر والتحديات بنسبة 100% للمشاريع القائمة والمعتمدة للمحافظ التالية (المالية, الحوكمة والمخاطر والالتزام وحوكمة البيانات, المنافع والنتائج الصحية) بحلول نهاية ديسمبر لعام 2026</t>
        </is>
      </c>
      <c r="E7" s="15" t="inlineStr">
        <is>
          <t>20%</t>
        </is>
      </c>
    </row>
    <row r="8" ht="50" customHeight="1">
      <c r="B8" s="15" t="n">
        <v>4</v>
      </c>
      <c r="C8" s="4" t="n"/>
      <c r="D8" s="17" t="inlineStr">
        <is>
          <t>الالتزام بالتقارير الأسبوعية ومتابعة وتحديث المشاريع التشغيلية والاستراتيجية والمطروحة للمحافظ التالية (المالية, الحوكمة والمخاطر والالتزام وحوكمة البيانات, المنافع والنتائج الصحية) بعدد 40 تقرير لكل قطاع الى نهاية ديسمبر لعام 2026</t>
        </is>
      </c>
      <c r="E8" s="15" t="inlineStr">
        <is>
          <t>20%</t>
        </is>
      </c>
    </row>
    <row r="9" ht="50" customHeight="1">
      <c r="B9" s="15" t="n">
        <v>5</v>
      </c>
      <c r="C9" s="4" t="n"/>
      <c r="D9" s="17" t="inlineStr">
        <is>
          <t>إقامة عدد ثلاث ورش عمل او تدريب تختص بإدارة المشاريع والانظمة المرتبطة بها للمحافظ التالية (المالية, الحوكمة والمخاطر والالتزام وحوكمة البيانات والمنافع), ومبادرة مرتبطة بإدارة المشاريع وكذلك أهداف القطاع والمركز بحلول نهاية ديسمبر لعام 2026</t>
        </is>
      </c>
      <c r="E9" s="15" t="inlineStr">
        <is>
          <t>20%</t>
        </is>
      </c>
    </row>
    <row r="11" ht="50" customHeight="1">
      <c r="B11" s="15" t="n">
        <v>1</v>
      </c>
      <c r="C11" s="16" t="inlineStr">
        <is>
          <t>نايف الجلال</t>
        </is>
      </c>
      <c r="D11" s="17" t="inlineStr">
        <is>
          <t>إنجاز اكتمال واغلاق المشاريع للمحافظ التالية (الاستدامة المالية, القانونية, الاستراتيجية, الشراء الاستراتيجي) بنسبة 100% مع عكس البيانات الصحيحة للمشاريع في منصة ميسر ومشروعي حتى نهاية ديسمبر 2026</t>
        </is>
      </c>
      <c r="E11" s="15" t="inlineStr">
        <is>
          <t>20%</t>
        </is>
      </c>
    </row>
    <row r="12" ht="50" customHeight="1">
      <c r="B12" s="15" t="n">
        <v>2</v>
      </c>
      <c r="C12" s="4" t="n"/>
      <c r="D12" s="17" t="inlineStr">
        <is>
          <t>تحقيق الالتزام بخطة الصرف المالية مع الالتزام بالجدول الزمني للمشاريع كما هو مخطط له بنسبة 100% للمشاريع المتعاقد عليها للمحافظ التالية (الاستدامة المالية, القانونية والاستراتيجية) بحلول نهاية ديسمبر لعام 2026</t>
        </is>
      </c>
      <c r="E12" s="15" t="inlineStr">
        <is>
          <t>20%</t>
        </is>
      </c>
    </row>
    <row r="13" ht="50" customHeight="1">
      <c r="B13" s="15" t="n">
        <v>3</v>
      </c>
      <c r="C13" s="4" t="n"/>
      <c r="D13" s="17" t="inlineStr">
        <is>
          <t>تحقيق الالتزام بإغلاق التغييرات والمخاطر والتحديات بنسبة 100% للمشاريع القائمة والمعتمدة للمحافظ التالية (الاستدامة المالية, القانونية, الاستراتيجية والشراء الاستراتيجي) بحلول نهاية ديسمبر لعام 2026</t>
        </is>
      </c>
      <c r="E13" s="15" t="inlineStr">
        <is>
          <t>20%</t>
        </is>
      </c>
    </row>
    <row r="14" ht="50" customHeight="1">
      <c r="B14" s="15" t="n">
        <v>4</v>
      </c>
      <c r="C14" s="4" t="n"/>
      <c r="D14" s="17" t="inlineStr">
        <is>
          <t>الالتزام بالتقارير الأسبوعية ومتابعة وتحديث المشاريع التشغيلية والاستراتيجية والمطروحة للمحافظ التالية (الاستدامة المالية, القانونية والاستراتيجية, الشراء الاستراتيجي) بعدد 40 تقرير لكل قطاع الى نهاية ديسمبر لعام 2026</t>
        </is>
      </c>
      <c r="E14" s="15" t="inlineStr">
        <is>
          <t>20%</t>
        </is>
      </c>
    </row>
    <row r="15" ht="50" customHeight="1">
      <c r="B15" s="15" t="n">
        <v>5</v>
      </c>
      <c r="C15" s="4" t="n"/>
      <c r="D15" s="17" t="inlineStr">
        <is>
          <t>إقامة عدد ثلاث ورش عمل او تدريب تختص بإدارة المشاريع والانظمة المرتبطة بها للمحافظ التالية (الاستدامة المالية, القانونية والاستراتيجية, الشراء الاستراتيجي), ومبادرة مرتبطة بإدارة المشاريع وكذلك أهداف القطاع والمركز بحلول نهاية ديسمبر لعام 2026</t>
        </is>
      </c>
      <c r="E15" s="15" t="inlineStr">
        <is>
          <t>20%</t>
        </is>
      </c>
    </row>
    <row r="17" ht="50" customHeight="1">
      <c r="B17" s="15" t="n">
        <v>1</v>
      </c>
      <c r="C17" s="16" t="inlineStr">
        <is>
          <t>عبد العزيز المعجل</t>
        </is>
      </c>
      <c r="D17" s="17" t="inlineStr">
        <is>
          <t>إنجاز اكتمال واغلاق المشاريع للمحافظ التالية (المراجعة الداخلية, مركز تقييم التقنيات الصحية ومكتب الرئيس التنفيذي) بنسبة 100% مع عكس البيانات الصحيحة للمشاريع في منصة ميسر ومشروعي حتى نهاية ديسمبر 2026</t>
        </is>
      </c>
      <c r="E17" s="15" t="inlineStr">
        <is>
          <t>20%</t>
        </is>
      </c>
    </row>
    <row r="18" ht="50" customHeight="1">
      <c r="B18" s="15" t="n">
        <v>2</v>
      </c>
      <c r="C18" s="4" t="n"/>
      <c r="D18" s="17" t="inlineStr">
        <is>
          <t>تحقيق الالتزام بخطة الصرف المالية مع الالتزام بالجدول الزمني للمشاريع كما هو مخطط له بنسبة 100% للمشاريع المتعاقد عليها للمحافظ التالية (المراجعة الداخلية, مركز تقييم التقنيات الصحية ومكتب الرئيس التنفيذي) بحلول نهاية ديسمبر لعام 2026</t>
        </is>
      </c>
      <c r="E18" s="15" t="inlineStr">
        <is>
          <t>20%</t>
        </is>
      </c>
    </row>
    <row r="19" ht="50" customHeight="1">
      <c r="B19" s="15" t="n">
        <v>3</v>
      </c>
      <c r="C19" s="4" t="n"/>
      <c r="D19" s="17" t="inlineStr">
        <is>
          <t>تحقيق الالتزام بإغلاق التغييرات والمخاطر والتحديات بنسبة 100% للمشاريع القائمة والمعتمدة للمحافظ التالية (المراجعة الداخلية, مركز تقييم التقنيات الصحية ومكتب الرئيس التنفيذي) بحلول نهاية ديسمبر لعام 2026</t>
        </is>
      </c>
      <c r="E19" s="15" t="inlineStr">
        <is>
          <t>20%</t>
        </is>
      </c>
    </row>
    <row r="20" ht="50" customHeight="1">
      <c r="B20" s="15" t="n">
        <v>4</v>
      </c>
      <c r="C20" s="4" t="n"/>
      <c r="D20" s="17" t="inlineStr">
        <is>
          <t>الالتزام بالتقارير الأسبوعية ومتابعة وتحديث المشاريع التشغيلية والاستراتيجية والمطروحة للمحافظ التالية (المراجعة الداخلية, مركز تقييم التقنيات الصحية ومكتب الرئيس التنفيذي) بعدد 40 تقرير لكل قطاع الى نهاية ديسمبر لعام 2026</t>
        </is>
      </c>
      <c r="E20" s="15" t="inlineStr">
        <is>
          <t>20%</t>
        </is>
      </c>
    </row>
    <row r="21" ht="50" customHeight="1">
      <c r="B21" s="15" t="n">
        <v>5</v>
      </c>
      <c r="C21" s="4" t="n"/>
      <c r="D21" s="17" t="inlineStr">
        <is>
          <t>إقامة عدد ثلاث ورش عمل او تدريب تختص بإدارة المشاريع والانظمة المرتبطة بها للمحافظ التالية (المراجعة الداخلية, مركز تقييم التقنيات الصحية ومكتب الرئيس التنفيذي), ومبادرة مرتبطة بإدارة المشاريع وكذلك أهداف القطاع والمركز بحلول نهاية ديسمبر لعام 2026</t>
        </is>
      </c>
      <c r="E21" s="15" t="inlineStr">
        <is>
          <t>20%</t>
        </is>
      </c>
    </row>
    <row r="23" ht="50" customHeight="1">
      <c r="B23" s="15" t="n">
        <v>1</v>
      </c>
      <c r="C23" s="16" t="inlineStr">
        <is>
          <t>صالح الغفيلي</t>
        </is>
      </c>
      <c r="D23" s="17" t="inlineStr">
        <is>
          <t>إنجاز اكتمال واغلاق المشاريع للمحافظ التالية (الصحة الحكيمة, الترميز الطبي وحساب التكاليف, التمويل والتكاليف, التقنية والذكاء الاصطناعي) بنسبة 100% مع عكس البيانات الصحيحة للمشاريع في منصة ميسر ومشروعي حتى نهاية ديسمبر 2026</t>
        </is>
      </c>
      <c r="E23" s="15" t="inlineStr">
        <is>
          <t>20%</t>
        </is>
      </c>
    </row>
    <row r="24" ht="50" customHeight="1">
      <c r="B24" s="15" t="n">
        <v>2</v>
      </c>
      <c r="C24" s="4" t="n"/>
      <c r="D24" s="17" t="inlineStr">
        <is>
          <t>تحقيق الالتزام بخطة الصرف المالية مع الالتزام بالجدول الزمني للمشاريع كما هو مخطط له بنسبة 100% للمشاريع المتعاقد عليها للمحافظ التالية (الصحة الحكيمة, الترميز الطبي وحساب التكاليف, التمويل والتكاليف, التقنية والذكاء الاصطناعي) بحلول نهاية ديسمبر لعام 2026</t>
        </is>
      </c>
      <c r="E24" s="15" t="inlineStr">
        <is>
          <t>20%</t>
        </is>
      </c>
    </row>
    <row r="25" ht="50" customHeight="1">
      <c r="B25" s="15" t="n">
        <v>3</v>
      </c>
      <c r="C25" s="4" t="n"/>
      <c r="D25" s="17" t="inlineStr">
        <is>
          <t>تحقيق الالتزام بإغلاق التغييرات والمخاطر والتحديات بنسبة 100% للمشاريع القائمة والمعتمدة للمحافظ التالية (الصحة الحكيمة, الترميز الطبي وحساب التكاليف, التمويل والتكاليف, التقنية والذكاء الاصطناعي) بحلول نهاية ديسمبر لعام 2026</t>
        </is>
      </c>
      <c r="E25" s="15" t="inlineStr">
        <is>
          <t>20%</t>
        </is>
      </c>
    </row>
    <row r="26" ht="50" customHeight="1">
      <c r="B26" s="15" t="n">
        <v>4</v>
      </c>
      <c r="C26" s="4" t="n"/>
      <c r="D26" s="17" t="inlineStr">
        <is>
          <t>الالتزام بالتقارير الأسبوعية ومتابعة وتحديث المشاريع التشغيلية والاستراتيجية والمطروحة للمحافظ التالية (الصحة الحكيمة, الترميز الطبي وحساب التكاليف, التمويل والتكاليف, التقنية والذكاء الاصطناعي) بعدد 40 تقرير لكل قطاع الى نهاية ديسمبر لعام 2026</t>
        </is>
      </c>
      <c r="E26" s="15" t="inlineStr">
        <is>
          <t>20%</t>
        </is>
      </c>
    </row>
    <row r="27" ht="50" customHeight="1">
      <c r="B27" s="15" t="n">
        <v>5</v>
      </c>
      <c r="C27" s="4" t="n"/>
      <c r="D27" s="17" t="inlineStr">
        <is>
          <t>إقامة عدد ثلاث ورش عمل او تدريب تختص بإدارة المشاريع والانظمة المرتبطة بها للمحافظ التالية (الصحة الحكيمة, الترميز الطبي وحساب التكاليف, التمويل والتكاليف, التقنية والذكاء الاصطناعي), ومبادرة مرتبطة بإدارة المشاريع وكذلك أهداف القطاع والمركز بحلول نهاية ديسمبر لعام 2026</t>
        </is>
      </c>
      <c r="E27" s="15" t="inlineStr">
        <is>
          <t>20%</t>
        </is>
      </c>
    </row>
    <row r="29" ht="50" customHeight="1">
      <c r="B29" s="15" t="n">
        <v>1</v>
      </c>
      <c r="C29" s="16" t="inlineStr">
        <is>
          <t>مشعل محمد</t>
        </is>
      </c>
      <c r="D29" s="17" t="inlineStr">
        <is>
          <t>إنجاز اكتمال واغلاق المشاريع للمحافظ التالية (الموارد البشرية, التواصل والعناية بالمستفيدين) بنسبة 100% مع عكس البيانات الصحيحة للمشاريع في منصة ميسر ومشروعي حتى نهاية ديسمبر 2026</t>
        </is>
      </c>
      <c r="E29" s="15" t="inlineStr">
        <is>
          <t>20%</t>
        </is>
      </c>
    </row>
    <row r="30" ht="50" customHeight="1">
      <c r="B30" s="15" t="n">
        <v>2</v>
      </c>
      <c r="C30" s="4" t="n"/>
      <c r="D30" s="17" t="inlineStr">
        <is>
          <t>تحقيق الالتزام بخطة الصرف المالية والالتزام بالجدول الزمني للمشاريع كما هو مخطط له بنسبة 100% للمشاريع المتعاقد عليها للمحافظ التالية (الموارد البشرية, التواصل والعناية بالمستفيدين) بحلول نهاية ديسمبر لعام 2026</t>
        </is>
      </c>
      <c r="E30" s="15" t="inlineStr">
        <is>
          <t>20%</t>
        </is>
      </c>
    </row>
    <row r="31" ht="50" customHeight="1">
      <c r="B31" s="15" t="n">
        <v>3</v>
      </c>
      <c r="C31" s="4" t="n"/>
      <c r="D31" s="17" t="inlineStr">
        <is>
          <t>تحقيق الالتزام بإغلاق التغييرات والمخاطر والتحديات بنسبة 100% للمشاريع القائمة والمعتمدة للمحافظ التالية (الموارد البشرية, التواصل والعناية بالمستفيدين) بحلول نهاية ديسمبر لعام 2026</t>
        </is>
      </c>
      <c r="E31" s="15" t="inlineStr">
        <is>
          <t>20%</t>
        </is>
      </c>
    </row>
    <row r="32" ht="50" customHeight="1">
      <c r="B32" s="15" t="n">
        <v>4</v>
      </c>
      <c r="C32" s="4" t="n"/>
      <c r="D32" s="17" t="inlineStr">
        <is>
          <t>الالتزام بالتقارير الأسبوعية ومتابعة وتحديث المشاريع التشغيلية والاستراتيجية والمطروحة للمحافظ التالية (الموارد البشرية, التواصل والعناية بالمستفيدين) بعدد 40 تقرير لكل قطاع الى نهاية ديسمبر لعام 2026</t>
        </is>
      </c>
      <c r="E32" s="15" t="inlineStr">
        <is>
          <t>20%</t>
        </is>
      </c>
    </row>
    <row r="33" ht="50" customHeight="1">
      <c r="B33" s="15" t="n">
        <v>5</v>
      </c>
      <c r="C33" s="4" t="n"/>
      <c r="D33" s="17" t="inlineStr">
        <is>
          <t>إقامة عدد ثلاث ورش عمل او تدريب تختص بإدارة المشاريع والانظمة المرتبطة بها للمحافظ التالية (الموارد البشرية, التواصل والعناية بالمستفيدين), ومبادرة مرتبطة بإدارة المشاريع وكذلك أهداف القطاع والمركز بحلول نهاية ديسمبر لعام 2026</t>
        </is>
      </c>
      <c r="E33" s="15" t="inlineStr">
        <is>
          <t>20%</t>
        </is>
      </c>
    </row>
  </sheetData>
  <sheetProtection selectLockedCells="0" selectUnlockedCells="0" sheet="1" objects="0" insertRows="1" insertHyperlinks="1" autoFilter="1" scenarios="0" formatColumns="0" deleteColumns="1" insertColumns="1" pivotTables="1" deleteRows="1" formatCells="0" formatRows="0" sort="1" password="E169"/>
  <mergeCells count="7">
    <mergeCell ref="B1:E1"/>
    <mergeCell ref="C29:C33"/>
    <mergeCell ref="C17:C21"/>
    <mergeCell ref="C11:C15"/>
    <mergeCell ref="B2:E2"/>
    <mergeCell ref="C5:C9"/>
    <mergeCell ref="C23:C27"/>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7B1FA2"/>
    <outlinePr summaryBelow="1" summaryRight="1"/>
    <pageSetUpPr/>
  </sheetPr>
  <dimension ref="B1:G93"/>
  <sheetViews>
    <sheetView rightToLeft="1" workbookViewId="0">
      <selection activeCell="A1" sqref="A1"/>
    </sheetView>
  </sheetViews>
  <sheetFormatPr baseColWidth="8" defaultRowHeight="15"/>
  <cols>
    <col width="5" customWidth="1" min="1" max="1"/>
    <col width="8" customWidth="1" min="2" max="2"/>
    <col width="25" customWidth="1" min="3" max="3"/>
    <col width="45" customWidth="1" min="4" max="4"/>
    <col width="20" customWidth="1" min="5" max="5"/>
    <col width="20" customWidth="1" min="6" max="6"/>
    <col width="20" customWidth="1" min="7" max="7"/>
  </cols>
  <sheetData>
    <row r="1">
      <c r="B1" s="22" t="inlineStr">
        <is>
          <t>مركز التأمين الصحي الوطني</t>
        </is>
      </c>
    </row>
    <row r="2">
      <c r="B2" s="23" t="inlineStr">
        <is>
          <t>تقرير أداء الموظف</t>
        </is>
      </c>
      <c r="C2" s="4" t="n"/>
      <c r="D2" s="4" t="n"/>
      <c r="E2" s="4" t="n"/>
      <c r="F2" s="4" t="n"/>
      <c r="G2" s="4" t="n"/>
    </row>
    <row r="4">
      <c r="B4" s="26" t="inlineStr">
        <is>
          <t>اختر الموظف:</t>
        </is>
      </c>
      <c r="C4" s="48" t="n"/>
    </row>
    <row r="6">
      <c r="B6" s="23" t="inlineStr">
        <is>
          <t>تقرير الموظف: شكرية كنكار</t>
        </is>
      </c>
      <c r="C6" s="4" t="n"/>
      <c r="D6" s="4" t="n"/>
      <c r="E6" s="4" t="n"/>
      <c r="F6" s="4" t="n"/>
      <c r="G6" s="4" t="n"/>
    </row>
    <row r="7">
      <c r="B7" s="49" t="inlineStr">
        <is>
          <t>البيانات الأساسية</t>
        </is>
      </c>
      <c r="C7" s="4" t="n"/>
      <c r="D7" s="4" t="n"/>
      <c r="E7" s="4" t="n"/>
      <c r="F7" s="4" t="n"/>
      <c r="G7" s="4" t="n"/>
    </row>
    <row r="8">
      <c r="B8" s="50" t="inlineStr">
        <is>
          <t>اسم الموظف</t>
        </is>
      </c>
      <c r="C8" s="4" t="n"/>
      <c r="D8" s="17" t="inlineStr">
        <is>
          <t>شكرية كنكار</t>
        </is>
      </c>
      <c r="E8" s="4" t="n"/>
      <c r="F8" s="4" t="n"/>
      <c r="G8" s="4" t="n"/>
    </row>
    <row r="9">
      <c r="B9" s="50" t="inlineStr">
        <is>
          <t>المحافظ</t>
        </is>
      </c>
      <c r="C9" s="4" t="n"/>
      <c r="D9" s="17" t="inlineStr">
        <is>
          <t>المالية / الحوكمة والمخاطر والالتزام وحوكمة البيانات / المنافع</t>
        </is>
      </c>
      <c r="E9" s="4" t="n"/>
      <c r="F9" s="4" t="n"/>
      <c r="G9" s="4" t="n"/>
    </row>
    <row r="10">
      <c r="B10" s="50" t="inlineStr">
        <is>
          <t>عدد المشاريع</t>
        </is>
      </c>
      <c r="C10" s="4" t="n"/>
      <c r="D10" s="17" t="n">
        <v>7</v>
      </c>
      <c r="E10" s="4" t="n"/>
      <c r="F10" s="4" t="n"/>
      <c r="G10" s="4" t="n"/>
    </row>
    <row r="12">
      <c r="B12" s="49" t="inlineStr">
        <is>
          <t>المشاريع</t>
        </is>
      </c>
      <c r="C12" s="4" t="n"/>
      <c r="D12" s="4" t="n"/>
      <c r="E12" s="4" t="n"/>
      <c r="F12" s="4" t="n"/>
      <c r="G12" s="4" t="n"/>
    </row>
    <row r="13">
      <c r="B13" s="9" t="inlineStr">
        <is>
          <t>#</t>
        </is>
      </c>
      <c r="C13" s="9" t="inlineStr">
        <is>
          <t>اسم المشروع</t>
        </is>
      </c>
      <c r="D13" s="9" t="inlineStr"/>
      <c r="E13" s="9" t="inlineStr">
        <is>
          <t>المحفظة</t>
        </is>
      </c>
      <c r="F13" s="9" t="inlineStr">
        <is>
          <t>الحالة</t>
        </is>
      </c>
      <c r="G13" s="9" t="inlineStr"/>
    </row>
    <row r="14" ht="30" customHeight="1">
      <c r="B14" s="15" t="n">
        <v>1</v>
      </c>
      <c r="C14" s="17" t="inlineStr">
        <is>
          <t>تدقيق وإجازة عمليات الشراء من القطاع الخاص</t>
        </is>
      </c>
      <c r="D14" s="4" t="n"/>
      <c r="E14" s="15" t="inlineStr">
        <is>
          <t>المالية</t>
        </is>
      </c>
      <c r="F14" s="51" t="inlineStr">
        <is>
          <t>جاري العمل</t>
        </is>
      </c>
      <c r="G14" s="4" t="n"/>
    </row>
    <row r="15" ht="30" customHeight="1">
      <c r="B15" s="15" t="n">
        <v>2</v>
      </c>
      <c r="C15" s="17" t="inlineStr">
        <is>
          <t>بناء وتفعيل قطاع الشؤون المالية لمركز التأمين الصحي الوطني</t>
        </is>
      </c>
      <c r="D15" s="4" t="n"/>
      <c r="E15" s="15" t="inlineStr">
        <is>
          <t>المالية</t>
        </is>
      </c>
      <c r="F15" s="51" t="inlineStr">
        <is>
          <t>جاري العمل</t>
        </is>
      </c>
      <c r="G15" s="4" t="n"/>
    </row>
    <row r="16" ht="30" customHeight="1">
      <c r="B16" s="15" t="n">
        <v>3</v>
      </c>
      <c r="C16" s="17" t="inlineStr">
        <is>
          <t>مشروع تطوير ضوابط أمان التطبيقات والبنية التحتية</t>
        </is>
      </c>
      <c r="D16" s="4" t="n"/>
      <c r="E16" s="15" t="inlineStr">
        <is>
          <t>الحوكمة</t>
        </is>
      </c>
      <c r="F16" s="51" t="inlineStr">
        <is>
          <t>جاري العمل</t>
        </is>
      </c>
      <c r="G16" s="4" t="n"/>
    </row>
    <row r="17" ht="30" customHeight="1">
      <c r="B17" s="15" t="n">
        <v>4</v>
      </c>
      <c r="C17" s="17" t="inlineStr">
        <is>
          <t>حصر وجرد وترميز وتقييم الأصول لمركز التأمين الصحي الوطني</t>
        </is>
      </c>
      <c r="D17" s="4" t="n"/>
      <c r="E17" s="15" t="inlineStr">
        <is>
          <t>المالية</t>
        </is>
      </c>
      <c r="F17" s="51" t="inlineStr">
        <is>
          <t>جاري العمل</t>
        </is>
      </c>
      <c r="G17" s="4" t="n"/>
    </row>
    <row r="18" ht="30" customHeight="1">
      <c r="B18" s="15" t="n">
        <v>5</v>
      </c>
      <c r="C18" s="17" t="inlineStr">
        <is>
          <t>الاحتساب الاكتواري لرصيد مخصص مكافأة نهاية الخدمة لأغراض اعداد القوائم المالية</t>
        </is>
      </c>
      <c r="D18" s="4" t="n"/>
      <c r="E18" s="15" t="inlineStr">
        <is>
          <t>المالية</t>
        </is>
      </c>
      <c r="F18" s="51" t="inlineStr">
        <is>
          <t>جاري العمل</t>
        </is>
      </c>
      <c r="G18" s="4" t="n"/>
    </row>
    <row r="19" ht="30" customHeight="1">
      <c r="B19" s="15" t="n">
        <v>6</v>
      </c>
      <c r="C19" s="17" t="inlineStr">
        <is>
          <t>تنسيق تنفيذ عمليات إدارة صحة السكان بشكل تكاملي</t>
        </is>
      </c>
      <c r="D19" s="4" t="n"/>
      <c r="E19" s="15" t="inlineStr">
        <is>
          <t>المنافع</t>
        </is>
      </c>
      <c r="F19" s="51" t="inlineStr">
        <is>
          <t>جاري العمل</t>
        </is>
      </c>
      <c r="G19" s="4" t="n"/>
    </row>
    <row r="20" ht="30" customHeight="1">
      <c r="B20" s="15" t="n">
        <v>7</v>
      </c>
      <c r="C20" s="17" t="inlineStr">
        <is>
          <t>تطوير لائحة وثائق تغطية الرعاية الصحية</t>
        </is>
      </c>
      <c r="D20" s="4" t="n"/>
      <c r="E20" s="15" t="inlineStr">
        <is>
          <t>القانونية</t>
        </is>
      </c>
      <c r="F20" s="51" t="inlineStr">
        <is>
          <t>جاري العمل</t>
        </is>
      </c>
      <c r="G20" s="4" t="n"/>
    </row>
    <row r="22">
      <c r="B22" s="52" t="inlineStr">
        <is>
          <t>ملاحظة: الأهداف السنوية غير معروضة في هذا التقرير</t>
        </is>
      </c>
    </row>
    <row r="24">
      <c r="B24" s="23" t="inlineStr">
        <is>
          <t>تقرير الموظف: نايف الجلال</t>
        </is>
      </c>
      <c r="C24" s="4" t="n"/>
      <c r="D24" s="4" t="n"/>
      <c r="E24" s="4" t="n"/>
      <c r="F24" s="4" t="n"/>
      <c r="G24" s="4" t="n"/>
    </row>
    <row r="25">
      <c r="B25" s="49" t="inlineStr">
        <is>
          <t>البيانات الأساسية</t>
        </is>
      </c>
      <c r="C25" s="4" t="n"/>
      <c r="D25" s="4" t="n"/>
      <c r="E25" s="4" t="n"/>
      <c r="F25" s="4" t="n"/>
      <c r="G25" s="4" t="n"/>
    </row>
    <row r="26">
      <c r="B26" s="50" t="inlineStr">
        <is>
          <t>اسم الموظف</t>
        </is>
      </c>
      <c r="C26" s="4" t="n"/>
      <c r="D26" s="17" t="inlineStr">
        <is>
          <t>نايف الجلال</t>
        </is>
      </c>
      <c r="E26" s="4" t="n"/>
      <c r="F26" s="4" t="n"/>
      <c r="G26" s="4" t="n"/>
    </row>
    <row r="27">
      <c r="B27" s="50" t="inlineStr">
        <is>
          <t>المحافظ</t>
        </is>
      </c>
      <c r="C27" s="4" t="n"/>
      <c r="D27" s="17" t="inlineStr">
        <is>
          <t>الشراء الاستراتيجي / الاستدامة المالية / القانونية / الاستراتيجية</t>
        </is>
      </c>
      <c r="E27" s="4" t="n"/>
      <c r="F27" s="4" t="n"/>
      <c r="G27" s="4" t="n"/>
    </row>
    <row r="28">
      <c r="B28" s="50" t="inlineStr">
        <is>
          <t>عدد المشاريع</t>
        </is>
      </c>
      <c r="C28" s="4" t="n"/>
      <c r="D28" s="17" t="n">
        <v>6</v>
      </c>
      <c r="E28" s="4" t="n"/>
      <c r="F28" s="4" t="n"/>
      <c r="G28" s="4" t="n"/>
    </row>
    <row r="30">
      <c r="B30" s="49" t="inlineStr">
        <is>
          <t>المشاريع</t>
        </is>
      </c>
      <c r="C30" s="4" t="n"/>
      <c r="D30" s="4" t="n"/>
      <c r="E30" s="4" t="n"/>
      <c r="F30" s="4" t="n"/>
      <c r="G30" s="4" t="n"/>
    </row>
    <row r="31">
      <c r="B31" s="9" t="inlineStr">
        <is>
          <t>#</t>
        </is>
      </c>
      <c r="C31" s="9" t="inlineStr">
        <is>
          <t>اسم المشروع</t>
        </is>
      </c>
      <c r="D31" s="9" t="inlineStr"/>
      <c r="E31" s="9" t="inlineStr">
        <is>
          <t>المحفظة</t>
        </is>
      </c>
      <c r="F31" s="9" t="inlineStr">
        <is>
          <t>الحالة</t>
        </is>
      </c>
      <c r="G31" s="9" t="inlineStr"/>
    </row>
    <row r="32" ht="30" customHeight="1">
      <c r="B32" s="15" t="n">
        <v>1</v>
      </c>
      <c r="C32" s="17" t="inlineStr">
        <is>
          <t>تصميم وتشغيل استراتيجية مركز التأمين الصحي الوطني للشراء من القطاع الخاص</t>
        </is>
      </c>
      <c r="D32" s="4" t="n"/>
      <c r="E32" s="15" t="inlineStr">
        <is>
          <t>الشراء الاستراتيجي</t>
        </is>
      </c>
      <c r="F32" s="51" t="inlineStr">
        <is>
          <t>جاري العمل</t>
        </is>
      </c>
      <c r="G32" s="4" t="n"/>
    </row>
    <row r="33" ht="30" customHeight="1">
      <c r="B33" s="15" t="n">
        <v>2</v>
      </c>
      <c r="C33" s="17" t="inlineStr">
        <is>
          <t>مشروع دعم تطوير التصور الشامل حول التأمين على المواطنين</t>
        </is>
      </c>
      <c r="D33" s="4" t="n"/>
      <c r="E33" s="15" t="inlineStr">
        <is>
          <t>الاستراتيجية</t>
        </is>
      </c>
      <c r="F33" s="51" t="inlineStr">
        <is>
          <t>جاري العمل</t>
        </is>
      </c>
      <c r="G33" s="4" t="n"/>
    </row>
    <row r="34" ht="30" customHeight="1">
      <c r="B34" s="15" t="n">
        <v>3</v>
      </c>
      <c r="C34" s="17" t="inlineStr">
        <is>
          <t>إدارة عمليات شراء الخدمات الطبية من القطاع الخاص-الإحالة الداخلية ومراجعة المطالبات</t>
        </is>
      </c>
      <c r="D34" s="4" t="n"/>
      <c r="E34" s="15" t="inlineStr">
        <is>
          <t>الشراء الاستراتيجي</t>
        </is>
      </c>
      <c r="F34" s="51" t="inlineStr">
        <is>
          <t>جاري العمل</t>
        </is>
      </c>
      <c r="G34" s="4" t="n"/>
    </row>
    <row r="35" ht="30" customHeight="1">
      <c r="B35" s="15" t="n">
        <v>4</v>
      </c>
      <c r="C35" s="17" t="inlineStr">
        <is>
          <t>ادارة الاحالات والمطالبات الطبية للمرضى الذين يتم علاجهم داخل المملكة العربية السعودية</t>
        </is>
      </c>
      <c r="D35" s="4" t="n"/>
      <c r="E35" s="15" t="inlineStr">
        <is>
          <t>الشراء الاستراتيجي</t>
        </is>
      </c>
      <c r="F35" s="51" t="inlineStr">
        <is>
          <t>جاري العمل</t>
        </is>
      </c>
      <c r="G35" s="4" t="n"/>
    </row>
    <row r="36" ht="30" customHeight="1">
      <c r="B36" s="15" t="n">
        <v>5</v>
      </c>
      <c r="C36" s="17" t="inlineStr">
        <is>
          <t>ادارة الاحالات والمطالبات الطبية للمرضى الذين يتم علاجهم خارج المملكة العربية السعودية</t>
        </is>
      </c>
      <c r="D36" s="4" t="n"/>
      <c r="E36" s="15" t="inlineStr">
        <is>
          <t>الشراء الاستراتيجي</t>
        </is>
      </c>
      <c r="F36" s="51" t="inlineStr">
        <is>
          <t>جاري العمل</t>
        </is>
      </c>
      <c r="G36" s="4" t="n"/>
    </row>
    <row r="37" ht="30" customHeight="1">
      <c r="B37" s="15" t="n">
        <v>6</v>
      </c>
      <c r="C37" s="17" t="inlineStr">
        <is>
          <t>إنشاء وتفعيل وحدة الشفافية المالية والاستدامة التابعة لمركز التأمين الصحي الوطني</t>
        </is>
      </c>
      <c r="D37" s="4" t="n"/>
      <c r="E37" s="15" t="inlineStr">
        <is>
          <t>الاستدامة المالية</t>
        </is>
      </c>
      <c r="F37" s="51" t="inlineStr">
        <is>
          <t>جاري العمل</t>
        </is>
      </c>
      <c r="G37" s="4" t="n"/>
    </row>
    <row r="39">
      <c r="B39" s="52" t="inlineStr">
        <is>
          <t>ملاحظة: الأهداف السنوية غير معروضة في هذا التقرير</t>
        </is>
      </c>
    </row>
    <row r="41">
      <c r="B41" s="23" t="inlineStr">
        <is>
          <t>تقرير الموظف: عبد العزيز المعجل</t>
        </is>
      </c>
      <c r="C41" s="4" t="n"/>
      <c r="D41" s="4" t="n"/>
      <c r="E41" s="4" t="n"/>
      <c r="F41" s="4" t="n"/>
      <c r="G41" s="4" t="n"/>
    </row>
    <row r="42">
      <c r="B42" s="49" t="inlineStr">
        <is>
          <t>البيانات الأساسية</t>
        </is>
      </c>
      <c r="C42" s="4" t="n"/>
      <c r="D42" s="4" t="n"/>
      <c r="E42" s="4" t="n"/>
      <c r="F42" s="4" t="n"/>
      <c r="G42" s="4" t="n"/>
    </row>
    <row r="43">
      <c r="B43" s="50" t="inlineStr">
        <is>
          <t>اسم الموظف</t>
        </is>
      </c>
      <c r="C43" s="4" t="n"/>
      <c r="D43" s="17" t="inlineStr">
        <is>
          <t>عبد العزيز المعجل</t>
        </is>
      </c>
      <c r="E43" s="4" t="n"/>
      <c r="F43" s="4" t="n"/>
      <c r="G43" s="4" t="n"/>
    </row>
    <row r="44">
      <c r="B44" s="50" t="inlineStr">
        <is>
          <t>المحافظ</t>
        </is>
      </c>
      <c r="C44" s="4" t="n"/>
      <c r="D44" s="17" t="inlineStr">
        <is>
          <t>المراجعة الداخلية / تقييم التقنيات الصحية / مكتب الرئيس التنفيذي</t>
        </is>
      </c>
      <c r="E44" s="4" t="n"/>
      <c r="F44" s="4" t="n"/>
      <c r="G44" s="4" t="n"/>
    </row>
    <row r="45">
      <c r="B45" s="50" t="inlineStr">
        <is>
          <t>عدد المشاريع</t>
        </is>
      </c>
      <c r="C45" s="4" t="n"/>
      <c r="D45" s="17" t="n">
        <v>3</v>
      </c>
      <c r="E45" s="4" t="n"/>
      <c r="F45" s="4" t="n"/>
      <c r="G45" s="4" t="n"/>
    </row>
    <row r="47">
      <c r="B47" s="49" t="inlineStr">
        <is>
          <t>المشاريع</t>
        </is>
      </c>
      <c r="C47" s="4" t="n"/>
      <c r="D47" s="4" t="n"/>
      <c r="E47" s="4" t="n"/>
      <c r="F47" s="4" t="n"/>
      <c r="G47" s="4" t="n"/>
    </row>
    <row r="48">
      <c r="B48" s="9" t="inlineStr">
        <is>
          <t>#</t>
        </is>
      </c>
      <c r="C48" s="9" t="inlineStr">
        <is>
          <t>اسم المشروع</t>
        </is>
      </c>
      <c r="D48" s="9" t="inlineStr"/>
      <c r="E48" s="9" t="inlineStr">
        <is>
          <t>المحفظة</t>
        </is>
      </c>
      <c r="F48" s="9" t="inlineStr">
        <is>
          <t>الحالة</t>
        </is>
      </c>
      <c r="G48" s="9" t="inlineStr"/>
    </row>
    <row r="49" ht="30" customHeight="1">
      <c r="B49" s="15" t="n">
        <v>1</v>
      </c>
      <c r="C49" s="17" t="inlineStr">
        <is>
          <t>مشروع انشاء وحدة التحكم والتحول في مركز التأمين الصحي الوطني</t>
        </is>
      </c>
      <c r="D49" s="4" t="n"/>
      <c r="E49" s="15" t="inlineStr">
        <is>
          <t>مكتب الرئيس التنفيذي</t>
        </is>
      </c>
      <c r="F49" s="51" t="inlineStr">
        <is>
          <t>جاري العمل</t>
        </is>
      </c>
      <c r="G49" s="4" t="n"/>
    </row>
    <row r="50" ht="30" customHeight="1">
      <c r="B50" s="15" t="n">
        <v>2</v>
      </c>
      <c r="C50" s="17" t="inlineStr">
        <is>
          <t>إعادة تأسيس وتحديث إدارة المراجعة الداخلية في مركز التأمين الصحي</t>
        </is>
      </c>
      <c r="D50" s="4" t="n"/>
      <c r="E50" s="15" t="inlineStr">
        <is>
          <t>المراجعة الداخلية</t>
        </is>
      </c>
      <c r="F50" s="51" t="inlineStr">
        <is>
          <t>جاري العمل</t>
        </is>
      </c>
      <c r="G50" s="4" t="n"/>
    </row>
    <row r="51" ht="30" customHeight="1">
      <c r="B51" s="15" t="n">
        <v>3</v>
      </c>
      <c r="C51" s="17" t="inlineStr">
        <is>
          <t>دعم منهجية مركز تقييم التقنيات الصحية</t>
        </is>
      </c>
      <c r="D51" s="4" t="n"/>
      <c r="E51" s="15" t="inlineStr">
        <is>
          <t>تقييم التقنيات الصحية</t>
        </is>
      </c>
      <c r="F51" s="51" t="inlineStr">
        <is>
          <t>جاري العمل</t>
        </is>
      </c>
      <c r="G51" s="4" t="n"/>
    </row>
    <row r="53">
      <c r="B53" s="52" t="inlineStr">
        <is>
          <t>ملاحظة: الأهداف السنوية غير معروضة في هذا التقرير</t>
        </is>
      </c>
    </row>
    <row r="55">
      <c r="B55" s="23" t="inlineStr">
        <is>
          <t>تقرير الموظف: صالح الغفيلي</t>
        </is>
      </c>
      <c r="C55" s="4" t="n"/>
      <c r="D55" s="4" t="n"/>
      <c r="E55" s="4" t="n"/>
      <c r="F55" s="4" t="n"/>
      <c r="G55" s="4" t="n"/>
    </row>
    <row r="56">
      <c r="B56" s="49" t="inlineStr">
        <is>
          <t>البيانات الأساسية</t>
        </is>
      </c>
      <c r="C56" s="4" t="n"/>
      <c r="D56" s="4" t="n"/>
      <c r="E56" s="4" t="n"/>
      <c r="F56" s="4" t="n"/>
      <c r="G56" s="4" t="n"/>
    </row>
    <row r="57">
      <c r="B57" s="50" t="inlineStr">
        <is>
          <t>اسم الموظف</t>
        </is>
      </c>
      <c r="C57" s="4" t="n"/>
      <c r="D57" s="17" t="inlineStr">
        <is>
          <t>صالح الغفيلي</t>
        </is>
      </c>
      <c r="E57" s="4" t="n"/>
      <c r="F57" s="4" t="n"/>
      <c r="G57" s="4" t="n"/>
    </row>
    <row r="58">
      <c r="B58" s="50" t="inlineStr">
        <is>
          <t>المحافظ</t>
        </is>
      </c>
      <c r="C58" s="4" t="n"/>
      <c r="D58" s="17" t="inlineStr">
        <is>
          <t>الصحة الحكيمة / الترميز الطبي وحساب التكاليف / التمويل والتكاليف / التقنية والذكاء الاصطناعي</t>
        </is>
      </c>
      <c r="E58" s="4" t="n"/>
      <c r="F58" s="4" t="n"/>
      <c r="G58" s="4" t="n"/>
    </row>
    <row r="59">
      <c r="B59" s="50" t="inlineStr">
        <is>
          <t>عدد المشاريع</t>
        </is>
      </c>
      <c r="C59" s="4" t="n"/>
      <c r="D59" s="17" t="n">
        <v>14</v>
      </c>
      <c r="E59" s="4" t="n"/>
      <c r="F59" s="4" t="n"/>
      <c r="G59" s="4" t="n"/>
    </row>
    <row r="61">
      <c r="B61" s="49" t="inlineStr">
        <is>
          <t>المشاريع</t>
        </is>
      </c>
      <c r="C61" s="4" t="n"/>
      <c r="D61" s="4" t="n"/>
      <c r="E61" s="4" t="n"/>
      <c r="F61" s="4" t="n"/>
      <c r="G61" s="4" t="n"/>
    </row>
    <row r="62">
      <c r="B62" s="9" t="inlineStr">
        <is>
          <t>#</t>
        </is>
      </c>
      <c r="C62" s="9" t="inlineStr">
        <is>
          <t>اسم المشروع</t>
        </is>
      </c>
      <c r="D62" s="9" t="inlineStr"/>
      <c r="E62" s="9" t="inlineStr">
        <is>
          <t>المحفظة</t>
        </is>
      </c>
      <c r="F62" s="9" t="inlineStr">
        <is>
          <t>الحالة</t>
        </is>
      </c>
      <c r="G62" s="9" t="inlineStr"/>
    </row>
    <row r="63" ht="30" customHeight="1">
      <c r="B63" s="15" t="n">
        <v>1</v>
      </c>
      <c r="C63" s="17" t="inlineStr">
        <is>
          <t>مشروع تفعيل دور مركز التميز الوطني للترميز الطبي وحساب التكاليف</t>
        </is>
      </c>
      <c r="D63" s="4" t="n"/>
      <c r="E63" s="15" t="inlineStr">
        <is>
          <t>الترميز الطبي وحساب التكاليف</t>
        </is>
      </c>
      <c r="F63" s="51" t="inlineStr">
        <is>
          <t>جاري العمل</t>
        </is>
      </c>
      <c r="G63" s="4" t="n"/>
    </row>
    <row r="64" ht="30" customHeight="1">
      <c r="B64" s="15" t="n">
        <v>2</v>
      </c>
      <c r="C64" s="17" t="inlineStr">
        <is>
          <t>تفعيل وبناء نماذج الدفع وشراء الخدمات الصحية المرحلة الأولى</t>
        </is>
      </c>
      <c r="D64" s="4" t="n"/>
      <c r="E64" s="15" t="inlineStr">
        <is>
          <t>التقنية والذكاء الاصطناعي</t>
        </is>
      </c>
      <c r="F64" s="51" t="inlineStr">
        <is>
          <t>جاري العمل</t>
        </is>
      </c>
      <c r="G64" s="4" t="n"/>
    </row>
    <row r="65" ht="30" customHeight="1">
      <c r="B65" s="15" t="n">
        <v>3</v>
      </c>
      <c r="C65" s="17" t="inlineStr">
        <is>
          <t>تطوير الموقع الخارجي وتقديم الدعم الفني</t>
        </is>
      </c>
      <c r="D65" s="4" t="n"/>
      <c r="E65" s="15" t="inlineStr">
        <is>
          <t>التقنية والذكاء الاصطناعي</t>
        </is>
      </c>
      <c r="F65" s="51" t="inlineStr">
        <is>
          <t>جاري العمل</t>
        </is>
      </c>
      <c r="G65" s="4" t="n"/>
    </row>
    <row r="66" ht="30" customHeight="1">
      <c r="B66" s="15" t="n">
        <v>4</v>
      </c>
      <c r="C66" s="17" t="inlineStr">
        <is>
          <t>منصة تكامل البيانات ومنصة عمل البيانات</t>
        </is>
      </c>
      <c r="D66" s="4" t="n"/>
      <c r="E66" s="15" t="inlineStr">
        <is>
          <t>التقنية والذكاء الاصطناعي</t>
        </is>
      </c>
      <c r="F66" s="51" t="inlineStr">
        <is>
          <t>جاري العمل</t>
        </is>
      </c>
      <c r="G66" s="4" t="n"/>
    </row>
    <row r="67" ht="30" customHeight="1">
      <c r="B67" s="15" t="n">
        <v>5</v>
      </c>
      <c r="C67" s="17" t="inlineStr">
        <is>
          <t>منصة التنبيهات الموحدة</t>
        </is>
      </c>
      <c r="D67" s="4" t="n"/>
      <c r="E67" s="15" t="inlineStr">
        <is>
          <t>التقنية والذكاء الاصطناعي</t>
        </is>
      </c>
      <c r="F67" s="51" t="inlineStr">
        <is>
          <t>جاري العمل</t>
        </is>
      </c>
      <c r="G67" s="4" t="n"/>
    </row>
    <row r="68" ht="30" customHeight="1">
      <c r="B68" s="15" t="n">
        <v>6</v>
      </c>
      <c r="C68" s="17" t="inlineStr">
        <is>
          <t>أنظمة خدمات تقنية المعلومات</t>
        </is>
      </c>
      <c r="D68" s="4" t="n"/>
      <c r="E68" s="15" t="inlineStr">
        <is>
          <t>التقنية والذكاء الاصطناعي</t>
        </is>
      </c>
      <c r="F68" s="51" t="inlineStr">
        <is>
          <t>جاري العمل</t>
        </is>
      </c>
      <c r="G68" s="4" t="n"/>
    </row>
    <row r="69" ht="30" customHeight="1">
      <c r="B69" s="15" t="n">
        <v>7</v>
      </c>
      <c r="C69" s="17" t="inlineStr">
        <is>
          <t>المرحلة الثانية من نظام التوظيف الإلكتروني</t>
        </is>
      </c>
      <c r="D69" s="4" t="n"/>
      <c r="E69" s="15" t="inlineStr">
        <is>
          <t>التقنية والذكاء الاصطناعي</t>
        </is>
      </c>
      <c r="F69" s="51" t="inlineStr">
        <is>
          <t>جاري العمل</t>
        </is>
      </c>
      <c r="G69" s="4" t="n"/>
    </row>
    <row r="70" ht="30" customHeight="1">
      <c r="B70" s="15" t="n">
        <v>8</v>
      </c>
      <c r="C70" s="17" t="inlineStr">
        <is>
          <t>استضافة البنية التحتية لمركز التأمين الصحي الوطني</t>
        </is>
      </c>
      <c r="D70" s="4" t="n"/>
      <c r="E70" s="15" t="inlineStr">
        <is>
          <t>التقنية والذكاء الاصطناعي</t>
        </is>
      </c>
      <c r="F70" s="51" t="inlineStr">
        <is>
          <t>جاري العمل</t>
        </is>
      </c>
      <c r="G70" s="4" t="n"/>
    </row>
    <row r="71" ht="30" customHeight="1">
      <c r="B71" s="15" t="n">
        <v>9</v>
      </c>
      <c r="C71" s="17" t="inlineStr">
        <is>
          <t>اعداد نظام التلفونات لمركز التأمين الصحي الوطني</t>
        </is>
      </c>
      <c r="D71" s="4" t="n"/>
      <c r="E71" s="15" t="inlineStr">
        <is>
          <t>التقنية والذكاء الاصطناعي</t>
        </is>
      </c>
      <c r="F71" s="51" t="inlineStr">
        <is>
          <t>جاري العمل</t>
        </is>
      </c>
      <c r="G71" s="4" t="n"/>
    </row>
    <row r="72" ht="30" customHeight="1">
      <c r="B72" s="15" t="n">
        <v>10</v>
      </c>
      <c r="C72" s="17" t="inlineStr">
        <is>
          <t>مراجعة وتحديث معايير ترميز الأمراض والإجراءات الطبية</t>
        </is>
      </c>
      <c r="D72" s="4" t="n"/>
      <c r="E72" s="15" t="inlineStr">
        <is>
          <t>الترميز الطبي وحساب التكاليف</t>
        </is>
      </c>
      <c r="F72" s="51" t="inlineStr">
        <is>
          <t>جاري العمل</t>
        </is>
      </c>
      <c r="G72" s="4" t="n"/>
    </row>
    <row r="73" ht="30" customHeight="1">
      <c r="B73" s="15" t="n">
        <v>11</v>
      </c>
      <c r="C73" s="17" t="inlineStr">
        <is>
          <t>مشروع البوابة الإلكترونية لجمع البيانات الطبية المرمزة (المرحلة الثالثة)</t>
        </is>
      </c>
      <c r="D73" s="4" t="n"/>
      <c r="E73" s="15" t="inlineStr">
        <is>
          <t>التقنية والذكاء الاصطناعي</t>
        </is>
      </c>
      <c r="F73" s="51" t="inlineStr">
        <is>
          <t>جاري العمل</t>
        </is>
      </c>
      <c r="G73" s="4" t="n"/>
    </row>
    <row r="74" ht="30" customHeight="1">
      <c r="B74" s="15" t="n">
        <v>12</v>
      </c>
      <c r="C74" s="17" t="inlineStr">
        <is>
          <t>مشروع تأسيس البنية التحتية لمركز بيانات برنامج الضمان الصحي وشراء الخدمات الصحية</t>
        </is>
      </c>
      <c r="D74" s="4" t="n"/>
      <c r="E74" s="15" t="inlineStr">
        <is>
          <t>التقنية والذكاء الاصطناعي</t>
        </is>
      </c>
      <c r="F74" s="51" t="inlineStr">
        <is>
          <t>جاري العمل</t>
        </is>
      </c>
      <c r="G74" s="4" t="n"/>
    </row>
    <row r="75" ht="30" customHeight="1">
      <c r="B75" s="15" t="n">
        <v>13</v>
      </c>
      <c r="C75" s="17" t="inlineStr">
        <is>
          <t>مشروع نظام الاتصالات الإدارية وإدارة اللجان والاجتماعات</t>
        </is>
      </c>
      <c r="D75" s="4" t="n"/>
      <c r="E75" s="15" t="inlineStr">
        <is>
          <t>التقنية والذكاء الاصطناعي</t>
        </is>
      </c>
      <c r="F75" s="51" t="inlineStr">
        <is>
          <t>جاري العمل</t>
        </is>
      </c>
      <c r="G75" s="4" t="n"/>
    </row>
    <row r="76" ht="30" customHeight="1">
      <c r="B76" s="15" t="n">
        <v>14</v>
      </c>
      <c r="C76" s="17" t="inlineStr">
        <is>
          <t>مشروع بناء قدرات تحليل البيانات وتشغيلها لبرنامج الضمان الصحي وشراء الخدمات</t>
        </is>
      </c>
      <c r="D76" s="4" t="n"/>
      <c r="E76" s="15" t="inlineStr">
        <is>
          <t>التقنية والذكاء الاصطناعي</t>
        </is>
      </c>
      <c r="F76" s="51" t="inlineStr">
        <is>
          <t>جاري العمل</t>
        </is>
      </c>
      <c r="G76" s="4" t="n"/>
    </row>
    <row r="78">
      <c r="B78" s="52" t="inlineStr">
        <is>
          <t>ملاحظة: الأهداف السنوية غير معروضة في هذا التقرير</t>
        </is>
      </c>
    </row>
    <row r="80">
      <c r="B80" s="23" t="inlineStr">
        <is>
          <t>تقرير الموظف: مشعل محمد</t>
        </is>
      </c>
      <c r="C80" s="4" t="n"/>
      <c r="D80" s="4" t="n"/>
      <c r="E80" s="4" t="n"/>
      <c r="F80" s="4" t="n"/>
      <c r="G80" s="4" t="n"/>
    </row>
    <row r="81">
      <c r="B81" s="49" t="inlineStr">
        <is>
          <t>البيانات الأساسية</t>
        </is>
      </c>
      <c r="C81" s="4" t="n"/>
      <c r="D81" s="4" t="n"/>
      <c r="E81" s="4" t="n"/>
      <c r="F81" s="4" t="n"/>
      <c r="G81" s="4" t="n"/>
    </row>
    <row r="82">
      <c r="B82" s="50" t="inlineStr">
        <is>
          <t>اسم الموظف</t>
        </is>
      </c>
      <c r="C82" s="4" t="n"/>
      <c r="D82" s="17" t="inlineStr">
        <is>
          <t>مشعل محمد</t>
        </is>
      </c>
      <c r="E82" s="4" t="n"/>
      <c r="F82" s="4" t="n"/>
      <c r="G82" s="4" t="n"/>
    </row>
    <row r="83">
      <c r="B83" s="50" t="inlineStr">
        <is>
          <t>المحافظ</t>
        </is>
      </c>
      <c r="C83" s="4" t="n"/>
      <c r="D83" s="17" t="inlineStr">
        <is>
          <t>الموارد البشرية / التواصل والعناية بالمستفيدين</t>
        </is>
      </c>
      <c r="E83" s="4" t="n"/>
      <c r="F83" s="4" t="n"/>
      <c r="G83" s="4" t="n"/>
    </row>
    <row r="84">
      <c r="B84" s="50" t="inlineStr">
        <is>
          <t>عدد المشاريع</t>
        </is>
      </c>
      <c r="C84" s="4" t="n"/>
      <c r="D84" s="17" t="n">
        <v>4</v>
      </c>
      <c r="E84" s="4" t="n"/>
      <c r="F84" s="4" t="n"/>
      <c r="G84" s="4" t="n"/>
    </row>
    <row r="86">
      <c r="B86" s="49" t="inlineStr">
        <is>
          <t>المشاريع</t>
        </is>
      </c>
      <c r="C86" s="4" t="n"/>
      <c r="D86" s="4" t="n"/>
      <c r="E86" s="4" t="n"/>
      <c r="F86" s="4" t="n"/>
      <c r="G86" s="4" t="n"/>
    </row>
    <row r="87">
      <c r="B87" s="9" t="inlineStr">
        <is>
          <t>#</t>
        </is>
      </c>
      <c r="C87" s="9" t="inlineStr">
        <is>
          <t>اسم المشروع</t>
        </is>
      </c>
      <c r="D87" s="9" t="inlineStr"/>
      <c r="E87" s="9" t="inlineStr">
        <is>
          <t>المحفظة</t>
        </is>
      </c>
      <c r="F87" s="9" t="inlineStr">
        <is>
          <t>الحالة</t>
        </is>
      </c>
      <c r="G87" s="9" t="inlineStr"/>
    </row>
    <row r="88" ht="30" customHeight="1">
      <c r="B88" s="15" t="n">
        <v>1</v>
      </c>
      <c r="C88" s="17" t="inlineStr">
        <is>
          <t>خدمات الصيانة والتشغيل لمركز التأمين الصحي الوطني</t>
        </is>
      </c>
      <c r="D88" s="4" t="n"/>
      <c r="E88" s="15" t="inlineStr">
        <is>
          <t>الموارد البشرية</t>
        </is>
      </c>
      <c r="F88" s="51" t="inlineStr">
        <is>
          <t>جاري العمل</t>
        </is>
      </c>
      <c r="G88" s="4" t="n"/>
    </row>
    <row r="89" ht="30" customHeight="1">
      <c r="B89" s="15" t="n">
        <v>2</v>
      </c>
      <c r="C89" s="17" t="inlineStr">
        <is>
          <t>تقديم الخدمات الاستشارية والدعم المساند لعمليات التشغيل لمركز التأمين الصحي الوطني</t>
        </is>
      </c>
      <c r="D89" s="4" t="n"/>
      <c r="E89" s="15" t="inlineStr">
        <is>
          <t>الموارد البشرية</t>
        </is>
      </c>
      <c r="F89" s="51" t="inlineStr">
        <is>
          <t>جاري العمل</t>
        </is>
      </c>
      <c r="G89" s="4" t="n"/>
    </row>
    <row r="90" ht="30" customHeight="1">
      <c r="B90" s="15" t="n">
        <v>3</v>
      </c>
      <c r="C90" s="17" t="inlineStr">
        <is>
          <t>مشروع تفعيل أدوار مركز التأمين الصحي الوطني في المنظومة الصحية المرحلة الأولى</t>
        </is>
      </c>
      <c r="D90" s="4" t="n"/>
      <c r="E90" s="15" t="inlineStr">
        <is>
          <t>الموارد البشرية</t>
        </is>
      </c>
      <c r="F90" s="51" t="inlineStr">
        <is>
          <t>جاري العمل</t>
        </is>
      </c>
      <c r="G90" s="4" t="n"/>
    </row>
    <row r="91" ht="30" customHeight="1">
      <c r="B91" s="15" t="n">
        <v>4</v>
      </c>
      <c r="C91" s="17" t="inlineStr">
        <is>
          <t>الحوكمة ونموذج التشغيل والمخطط الرقمي</t>
        </is>
      </c>
      <c r="D91" s="4" t="n"/>
      <c r="E91" s="15" t="inlineStr">
        <is>
          <t>التواصل والعناية بالمستفيدين</t>
        </is>
      </c>
      <c r="F91" s="51" t="inlineStr">
        <is>
          <t>جاري العمل</t>
        </is>
      </c>
      <c r="G91" s="4" t="n"/>
    </row>
    <row r="93">
      <c r="B93" s="52" t="inlineStr">
        <is>
          <t>ملاحظة: الأهداف السنوية غير معروضة في هذا التقرير</t>
        </is>
      </c>
    </row>
  </sheetData>
  <mergeCells count="120">
    <mergeCell ref="C15:D15"/>
    <mergeCell ref="F16:G16"/>
    <mergeCell ref="D8:G8"/>
    <mergeCell ref="F68:G68"/>
    <mergeCell ref="C89:D89"/>
    <mergeCell ref="D82:G82"/>
    <mergeCell ref="C64:D64"/>
    <mergeCell ref="C73:D73"/>
    <mergeCell ref="D59:G59"/>
    <mergeCell ref="F15:G15"/>
    <mergeCell ref="C63:D63"/>
    <mergeCell ref="C50:D50"/>
    <mergeCell ref="F70:G70"/>
    <mergeCell ref="D84:G84"/>
    <mergeCell ref="D45:G45"/>
    <mergeCell ref="F72:G72"/>
    <mergeCell ref="C76:D76"/>
    <mergeCell ref="C36:D36"/>
    <mergeCell ref="C17:D17"/>
    <mergeCell ref="F71:G71"/>
    <mergeCell ref="B47:G47"/>
    <mergeCell ref="B1:E1"/>
    <mergeCell ref="B22:G22"/>
    <mergeCell ref="C67:D67"/>
    <mergeCell ref="C19:D19"/>
    <mergeCell ref="B12:G12"/>
    <mergeCell ref="B26:C26"/>
    <mergeCell ref="B86:G86"/>
    <mergeCell ref="F88:G88"/>
    <mergeCell ref="B39:G39"/>
    <mergeCell ref="C69:D69"/>
    <mergeCell ref="D58:G58"/>
    <mergeCell ref="F19:G19"/>
    <mergeCell ref="F34:G34"/>
    <mergeCell ref="F63:G63"/>
    <mergeCell ref="C14:D14"/>
    <mergeCell ref="B27:C27"/>
    <mergeCell ref="F74:G74"/>
    <mergeCell ref="B78:G78"/>
    <mergeCell ref="D26:G26"/>
    <mergeCell ref="D44:G44"/>
    <mergeCell ref="F20:G20"/>
    <mergeCell ref="F18:G18"/>
    <mergeCell ref="F33:G33"/>
    <mergeCell ref="F76:G76"/>
    <mergeCell ref="F17:G17"/>
    <mergeCell ref="F66:G66"/>
    <mergeCell ref="F75:G75"/>
    <mergeCell ref="C90:D90"/>
    <mergeCell ref="B41:G41"/>
    <mergeCell ref="C71:D71"/>
    <mergeCell ref="B84:C84"/>
    <mergeCell ref="B25:G25"/>
    <mergeCell ref="C91:D91"/>
    <mergeCell ref="B93:G93"/>
    <mergeCell ref="C66:D66"/>
    <mergeCell ref="C18:D18"/>
    <mergeCell ref="F64:G64"/>
    <mergeCell ref="C34:D34"/>
    <mergeCell ref="F73:G73"/>
    <mergeCell ref="D9:G9"/>
    <mergeCell ref="C68:D68"/>
    <mergeCell ref="B61:G61"/>
    <mergeCell ref="F89:G89"/>
    <mergeCell ref="B43:C43"/>
    <mergeCell ref="B58:C58"/>
    <mergeCell ref="C20:D20"/>
    <mergeCell ref="C65:D65"/>
    <mergeCell ref="C75:D75"/>
    <mergeCell ref="F36:G36"/>
    <mergeCell ref="F50:G50"/>
    <mergeCell ref="D10:G10"/>
    <mergeCell ref="B57:C57"/>
    <mergeCell ref="B82:C82"/>
    <mergeCell ref="B55:G55"/>
    <mergeCell ref="B24:G24"/>
    <mergeCell ref="B80:G80"/>
    <mergeCell ref="F91:G91"/>
    <mergeCell ref="B44:C44"/>
    <mergeCell ref="C51:D51"/>
    <mergeCell ref="B28:C28"/>
    <mergeCell ref="C70:D70"/>
    <mergeCell ref="B9:C9"/>
    <mergeCell ref="D27:G27"/>
    <mergeCell ref="B7:G7"/>
    <mergeCell ref="B83:C83"/>
    <mergeCell ref="B81:G81"/>
    <mergeCell ref="C32:D32"/>
    <mergeCell ref="B45:C45"/>
    <mergeCell ref="F49:G49"/>
    <mergeCell ref="F14:G14"/>
    <mergeCell ref="D28:G28"/>
    <mergeCell ref="C49:D49"/>
    <mergeCell ref="B2:G2"/>
    <mergeCell ref="F69:G69"/>
    <mergeCell ref="B42:G42"/>
    <mergeCell ref="C33:D33"/>
    <mergeCell ref="B59:C59"/>
    <mergeCell ref="D83:G83"/>
    <mergeCell ref="F65:G65"/>
    <mergeCell ref="C74:D74"/>
    <mergeCell ref="C88:D88"/>
    <mergeCell ref="B53:G53"/>
    <mergeCell ref="C35:D35"/>
    <mergeCell ref="C16:D16"/>
    <mergeCell ref="F51:G51"/>
    <mergeCell ref="F32:G32"/>
    <mergeCell ref="B30:G30"/>
    <mergeCell ref="B8:C8"/>
    <mergeCell ref="F35:G35"/>
    <mergeCell ref="B6:G6"/>
    <mergeCell ref="F90:G90"/>
    <mergeCell ref="B10:C10"/>
    <mergeCell ref="D57:G57"/>
    <mergeCell ref="F67:G67"/>
    <mergeCell ref="F37:G37"/>
    <mergeCell ref="C72:D72"/>
    <mergeCell ref="C37:D37"/>
    <mergeCell ref="B56:G56"/>
    <mergeCell ref="D43:G43"/>
  </mergeCells>
  <dataValidations count="1">
    <dataValidation sqref="C4" showDropDown="0" showInputMessage="0" showErrorMessage="0" allowBlank="1" prompt="اختر اسم الموظف" type="list">
      <formula1>"شكرية كنكار,نايف الجلال,عبد العزيز المعجل,صالح الغفيلي,مشعل محمد"</formula1>
    </dataValidation>
  </dataValidations>
  <pageMargins left="0.75" right="0.75" top="1" bottom="1" header="0.5" footer="0.5"/>
  <pageSetup orientation="portrait" paperSize="9" fitToHeight="0" fitToWidth="1"/>
  <drawing xmlns:r="http://schemas.openxmlformats.org/officeDocument/2006/relationships" r:id="rId1"/>
</worksheet>
</file>

<file path=xl/worksheets/sheet7.xml><?xml version="1.0" encoding="utf-8"?>
<worksheet xmlns="http://schemas.openxmlformats.org/spreadsheetml/2006/main">
  <sheetPr>
    <tabColor rgb="0043A047"/>
    <outlinePr summaryBelow="1" summaryRight="1"/>
    <pageSetUpPr/>
  </sheetPr>
  <dimension ref="B1:F44"/>
  <sheetViews>
    <sheetView rightToLeft="1" workbookViewId="0">
      <selection activeCell="A1" sqref="A1"/>
    </sheetView>
  </sheetViews>
  <sheetFormatPr baseColWidth="8" defaultRowHeight="15"/>
  <cols>
    <col width="5" customWidth="1" min="1" max="1"/>
    <col width="8" customWidth="1" min="2" max="2"/>
    <col width="60" customWidth="1" min="3" max="3"/>
    <col width="30" customWidth="1" min="4" max="4"/>
    <col width="22" customWidth="1" min="5" max="5"/>
    <col width="22" customWidth="1" min="6" max="6"/>
  </cols>
  <sheetData>
    <row r="1">
      <c r="B1" s="3" t="inlineStr">
        <is>
          <t>سجل المشاريع</t>
        </is>
      </c>
      <c r="C1" s="4" t="n"/>
      <c r="D1" s="4" t="n"/>
      <c r="E1" s="4" t="n"/>
      <c r="F1" s="4" t="n"/>
    </row>
    <row r="3">
      <c r="B3" s="14" t="inlineStr">
        <is>
          <t>#</t>
        </is>
      </c>
      <c r="C3" s="14" t="inlineStr">
        <is>
          <t>اسم المشروع</t>
        </is>
      </c>
      <c r="D3" s="14" t="inlineStr">
        <is>
          <t>المحفظة</t>
        </is>
      </c>
      <c r="E3" s="14" t="inlineStr">
        <is>
          <t>المسؤول</t>
        </is>
      </c>
      <c r="F3" s="14" t="inlineStr">
        <is>
          <t>الحالة</t>
        </is>
      </c>
    </row>
    <row r="4" ht="30" customHeight="1">
      <c r="B4" s="15" t="n">
        <v>1</v>
      </c>
      <c r="C4" s="17" t="inlineStr">
        <is>
          <t>تدقيق وإجازة عمليات الشراء من القطاع الخاص</t>
        </is>
      </c>
      <c r="D4" s="15" t="inlineStr">
        <is>
          <t>المالية</t>
        </is>
      </c>
      <c r="E4" s="41" t="inlineStr">
        <is>
          <t>شكرية كنكار</t>
        </is>
      </c>
      <c r="F4" s="53" t="inlineStr">
        <is>
          <t>جاري العمل عليه</t>
        </is>
      </c>
    </row>
    <row r="5" ht="30" customHeight="1">
      <c r="B5" s="15" t="n">
        <v>2</v>
      </c>
      <c r="C5" s="17" t="inlineStr">
        <is>
          <t>بناء وتفعيل قطاع الشؤون المالية لمركز التأمين الصحي الوطني</t>
        </is>
      </c>
      <c r="D5" s="15" t="inlineStr">
        <is>
          <t>المالية</t>
        </is>
      </c>
      <c r="E5" s="41" t="inlineStr">
        <is>
          <t>شكرية كنكار</t>
        </is>
      </c>
      <c r="F5" s="53" t="inlineStr">
        <is>
          <t>جاري العمل عليه</t>
        </is>
      </c>
    </row>
    <row r="6" ht="30" customHeight="1">
      <c r="B6" s="15" t="n">
        <v>3</v>
      </c>
      <c r="C6" s="17" t="inlineStr">
        <is>
          <t>مشروع تطوير ضوابط أمان التطبيقات والبنية التحتية</t>
        </is>
      </c>
      <c r="D6" s="15" t="inlineStr">
        <is>
          <t>الحوكمة</t>
        </is>
      </c>
      <c r="E6" s="41" t="inlineStr">
        <is>
          <t>شكرية كنكار</t>
        </is>
      </c>
      <c r="F6" s="53" t="inlineStr">
        <is>
          <t>جاري العمل عليه</t>
        </is>
      </c>
    </row>
    <row r="7" ht="30" customHeight="1">
      <c r="B7" s="15" t="n">
        <v>4</v>
      </c>
      <c r="C7" s="17" t="inlineStr">
        <is>
          <t>حصر وجرد وترميز وتقييم الأصول لمركز التأمين الصحي الوطني</t>
        </is>
      </c>
      <c r="D7" s="15" t="inlineStr">
        <is>
          <t>المالية</t>
        </is>
      </c>
      <c r="E7" s="41" t="inlineStr">
        <is>
          <t>شكرية كنكار</t>
        </is>
      </c>
      <c r="F7" s="53" t="inlineStr">
        <is>
          <t>جاري العمل عليه</t>
        </is>
      </c>
    </row>
    <row r="8" ht="30" customHeight="1">
      <c r="B8" s="15" t="n">
        <v>5</v>
      </c>
      <c r="C8" s="17" t="inlineStr">
        <is>
          <t>الاحتساب الاكتواري لرصيد مخصص مكافأة نهاية الخدمة لأغراض اعداد القوائم المالية</t>
        </is>
      </c>
      <c r="D8" s="15" t="inlineStr">
        <is>
          <t>المالية</t>
        </is>
      </c>
      <c r="E8" s="41" t="inlineStr">
        <is>
          <t>شكرية كنكار</t>
        </is>
      </c>
      <c r="F8" s="53" t="inlineStr">
        <is>
          <t>جاري العمل عليه</t>
        </is>
      </c>
    </row>
    <row r="9" ht="30" customHeight="1">
      <c r="B9" s="15" t="n">
        <v>6</v>
      </c>
      <c r="C9" s="17" t="inlineStr">
        <is>
          <t>تنسيق تنفيذ عمليات إدارة صحة السكان بشكل تكاملي</t>
        </is>
      </c>
      <c r="D9" s="15" t="inlineStr">
        <is>
          <t>المنافع</t>
        </is>
      </c>
      <c r="E9" s="41" t="inlineStr">
        <is>
          <t>شكرية كنكار</t>
        </is>
      </c>
      <c r="F9" s="53" t="inlineStr">
        <is>
          <t>جاري العمل عليه</t>
        </is>
      </c>
    </row>
    <row r="10" ht="30" customHeight="1">
      <c r="B10" s="15" t="n">
        <v>7</v>
      </c>
      <c r="C10" s="17" t="inlineStr">
        <is>
          <t>تطوير لائحة وثائق تغطية الرعاية الصحية</t>
        </is>
      </c>
      <c r="D10" s="15" t="inlineStr">
        <is>
          <t>القانونية</t>
        </is>
      </c>
      <c r="E10" s="41" t="inlineStr">
        <is>
          <t>شكرية كنكار</t>
        </is>
      </c>
      <c r="F10" s="53" t="inlineStr">
        <is>
          <t>جاري العمل عليه</t>
        </is>
      </c>
    </row>
    <row r="11" ht="30" customHeight="1">
      <c r="B11" s="15" t="n">
        <v>8</v>
      </c>
      <c r="C11" s="17" t="inlineStr">
        <is>
          <t>تصميم وتشغيل استراتيجية مركز التأمين الصحي الوطني للشراء من القطاع الخاص</t>
        </is>
      </c>
      <c r="D11" s="15" t="inlineStr">
        <is>
          <t>الشراء الاستراتيجي</t>
        </is>
      </c>
      <c r="E11" s="41" t="inlineStr">
        <is>
          <t>نايف الجلال</t>
        </is>
      </c>
      <c r="F11" s="53" t="inlineStr">
        <is>
          <t>جاري العمل عليه</t>
        </is>
      </c>
    </row>
    <row r="12" ht="30" customHeight="1">
      <c r="B12" s="15" t="n">
        <v>9</v>
      </c>
      <c r="C12" s="17" t="inlineStr">
        <is>
          <t>مشروع دعم تطوير التصور الشامل حول التأمين على المواطنين</t>
        </is>
      </c>
      <c r="D12" s="15" t="inlineStr">
        <is>
          <t>الاستراتيجية</t>
        </is>
      </c>
      <c r="E12" s="41" t="inlineStr">
        <is>
          <t>نايف الجلال</t>
        </is>
      </c>
      <c r="F12" s="53" t="inlineStr">
        <is>
          <t>جاري العمل عليه</t>
        </is>
      </c>
    </row>
    <row r="13" ht="30" customHeight="1">
      <c r="B13" s="15" t="n">
        <v>10</v>
      </c>
      <c r="C13" s="17" t="inlineStr">
        <is>
          <t>إدارة عمليات شراء الخدمات الطبية من القطاع الخاص-الإحالة الداخلية ومراجعة المطالبات</t>
        </is>
      </c>
      <c r="D13" s="15" t="inlineStr">
        <is>
          <t>الشراء الاستراتيجي</t>
        </is>
      </c>
      <c r="E13" s="41" t="inlineStr">
        <is>
          <t>نايف الجلال</t>
        </is>
      </c>
      <c r="F13" s="53" t="inlineStr">
        <is>
          <t>جاري العمل عليه</t>
        </is>
      </c>
    </row>
    <row r="14" ht="30" customHeight="1">
      <c r="B14" s="15" t="n">
        <v>11</v>
      </c>
      <c r="C14" s="17" t="inlineStr">
        <is>
          <t>ادارة الاحالات والمطالبات الطبية للمرضى الذين يتم علاجهم داخل المملكة العربية السعودية</t>
        </is>
      </c>
      <c r="D14" s="15" t="inlineStr">
        <is>
          <t>الشراء الاستراتيجي</t>
        </is>
      </c>
      <c r="E14" s="41" t="inlineStr">
        <is>
          <t>نايف الجلال</t>
        </is>
      </c>
      <c r="F14" s="53" t="inlineStr">
        <is>
          <t>جاري العمل عليه</t>
        </is>
      </c>
    </row>
    <row r="15" ht="30" customHeight="1">
      <c r="B15" s="15" t="n">
        <v>12</v>
      </c>
      <c r="C15" s="17" t="inlineStr">
        <is>
          <t>ادارة الاحالات والمطالبات الطبية للمرضى الذين يتم علاجهم خارج المملكة العربية السعودية</t>
        </is>
      </c>
      <c r="D15" s="15" t="inlineStr">
        <is>
          <t>الشراء الاستراتيجي</t>
        </is>
      </c>
      <c r="E15" s="41" t="inlineStr">
        <is>
          <t>نايف الجلال</t>
        </is>
      </c>
      <c r="F15" s="53" t="inlineStr">
        <is>
          <t>جاري العمل عليه</t>
        </is>
      </c>
    </row>
    <row r="16" ht="30" customHeight="1">
      <c r="B16" s="15" t="n">
        <v>13</v>
      </c>
      <c r="C16" s="17" t="inlineStr">
        <is>
          <t>إنشاء وتفعيل وحدة الشفافية المالية والاستدامة التابعة لمركز التأمين الصحي الوطني</t>
        </is>
      </c>
      <c r="D16" s="15" t="inlineStr">
        <is>
          <t>الاستدامة المالية</t>
        </is>
      </c>
      <c r="E16" s="41" t="inlineStr">
        <is>
          <t>نايف الجلال</t>
        </is>
      </c>
      <c r="F16" s="53" t="inlineStr">
        <is>
          <t>جاري العمل عليه</t>
        </is>
      </c>
    </row>
    <row r="17" ht="30" customHeight="1">
      <c r="B17" s="15" t="n">
        <v>14</v>
      </c>
      <c r="C17" s="17" t="inlineStr">
        <is>
          <t>مشروع انشاء وحدة التحكم والتحول في مركز التأمين الصحي الوطني</t>
        </is>
      </c>
      <c r="D17" s="15" t="inlineStr">
        <is>
          <t>مكتب الرئيس التنفيذي</t>
        </is>
      </c>
      <c r="E17" s="41" t="inlineStr">
        <is>
          <t>عبد العزيز المعجل</t>
        </is>
      </c>
      <c r="F17" s="53" t="inlineStr">
        <is>
          <t>جاري العمل عليه</t>
        </is>
      </c>
    </row>
    <row r="18" ht="30" customHeight="1">
      <c r="B18" s="15" t="n">
        <v>15</v>
      </c>
      <c r="C18" s="17" t="inlineStr">
        <is>
          <t>إعادة تأسيس وتحديث إدارة المراجعة الداخلية في مركز التأمين الصحي</t>
        </is>
      </c>
      <c r="D18" s="15" t="inlineStr">
        <is>
          <t>المراجعة الداخلية</t>
        </is>
      </c>
      <c r="E18" s="41" t="inlineStr">
        <is>
          <t>عبد العزيز المعجل</t>
        </is>
      </c>
      <c r="F18" s="53" t="inlineStr">
        <is>
          <t>جاري العمل عليه</t>
        </is>
      </c>
    </row>
    <row r="19" ht="30" customHeight="1">
      <c r="B19" s="15" t="n">
        <v>16</v>
      </c>
      <c r="C19" s="17" t="inlineStr">
        <is>
          <t>دعم منهجية مركز تقييم التقنيات الصحية</t>
        </is>
      </c>
      <c r="D19" s="15" t="inlineStr">
        <is>
          <t>تقييم التقنيات الصحية</t>
        </is>
      </c>
      <c r="E19" s="41" t="inlineStr">
        <is>
          <t>عبد العزيز المعجل</t>
        </is>
      </c>
      <c r="F19" s="53" t="inlineStr">
        <is>
          <t>جاري العمل عليه</t>
        </is>
      </c>
    </row>
    <row r="20" ht="30" customHeight="1">
      <c r="B20" s="15" t="n">
        <v>17</v>
      </c>
      <c r="C20" s="17" t="inlineStr">
        <is>
          <t>مشروع تفعيل دور مركز التميز الوطني للترميز الطبي وحساب التكاليف</t>
        </is>
      </c>
      <c r="D20" s="15" t="inlineStr">
        <is>
          <t>الترميز الطبي وحساب التكاليف</t>
        </is>
      </c>
      <c r="E20" s="41" t="inlineStr">
        <is>
          <t>صالح الغفيلي</t>
        </is>
      </c>
      <c r="F20" s="53" t="inlineStr">
        <is>
          <t>جاري العمل عليه</t>
        </is>
      </c>
    </row>
    <row r="21" ht="30" customHeight="1">
      <c r="B21" s="15" t="n">
        <v>18</v>
      </c>
      <c r="C21" s="17" t="inlineStr">
        <is>
          <t>تفعيل وبناء نماذج الدفع وشراء الخدمات الصحية المرحلة الأولى</t>
        </is>
      </c>
      <c r="D21" s="15" t="inlineStr">
        <is>
          <t>التقنية والذكاء الاصطناعي</t>
        </is>
      </c>
      <c r="E21" s="41" t="inlineStr">
        <is>
          <t>صالح الغفيلي</t>
        </is>
      </c>
      <c r="F21" s="53" t="inlineStr">
        <is>
          <t>جاري العمل عليه</t>
        </is>
      </c>
    </row>
    <row r="22" ht="30" customHeight="1">
      <c r="B22" s="15" t="n">
        <v>19</v>
      </c>
      <c r="C22" s="17" t="inlineStr">
        <is>
          <t>تطوير الموقع الخارجي وتقديم الدعم الفني</t>
        </is>
      </c>
      <c r="D22" s="15" t="inlineStr">
        <is>
          <t>التقنية والذكاء الاصطناعي</t>
        </is>
      </c>
      <c r="E22" s="41" t="inlineStr">
        <is>
          <t>صالح الغفيلي</t>
        </is>
      </c>
      <c r="F22" s="53" t="inlineStr">
        <is>
          <t>جاري العمل عليه</t>
        </is>
      </c>
    </row>
    <row r="23" ht="30" customHeight="1">
      <c r="B23" s="15" t="n">
        <v>20</v>
      </c>
      <c r="C23" s="17" t="inlineStr">
        <is>
          <t>منصة تكامل البيانات ومنصة عمل البيانات</t>
        </is>
      </c>
      <c r="D23" s="15" t="inlineStr">
        <is>
          <t>التقنية والذكاء الاصطناعي</t>
        </is>
      </c>
      <c r="E23" s="41" t="inlineStr">
        <is>
          <t>صالح الغفيلي</t>
        </is>
      </c>
      <c r="F23" s="53" t="inlineStr">
        <is>
          <t>جاري العمل عليه</t>
        </is>
      </c>
    </row>
    <row r="24" ht="30" customHeight="1">
      <c r="B24" s="15" t="n">
        <v>21</v>
      </c>
      <c r="C24" s="17" t="inlineStr">
        <is>
          <t>منصة التنبيهات الموحدة</t>
        </is>
      </c>
      <c r="D24" s="15" t="inlineStr">
        <is>
          <t>التقنية والذكاء الاصطناعي</t>
        </is>
      </c>
      <c r="E24" s="41" t="inlineStr">
        <is>
          <t>صالح الغفيلي</t>
        </is>
      </c>
      <c r="F24" s="53" t="inlineStr">
        <is>
          <t>جاري العمل عليه</t>
        </is>
      </c>
    </row>
    <row r="25" ht="30" customHeight="1">
      <c r="B25" s="15" t="n">
        <v>22</v>
      </c>
      <c r="C25" s="17" t="inlineStr">
        <is>
          <t>أنظمة خدمات تقنية المعلومات</t>
        </is>
      </c>
      <c r="D25" s="15" t="inlineStr">
        <is>
          <t>التقنية والذكاء الاصطناعي</t>
        </is>
      </c>
      <c r="E25" s="41" t="inlineStr">
        <is>
          <t>صالح الغفيلي</t>
        </is>
      </c>
      <c r="F25" s="53" t="inlineStr">
        <is>
          <t>جاري العمل عليه</t>
        </is>
      </c>
    </row>
    <row r="26" ht="30" customHeight="1">
      <c r="B26" s="15" t="n">
        <v>23</v>
      </c>
      <c r="C26" s="17" t="inlineStr">
        <is>
          <t>المرحلة الثانية من نظام التوظيف الإلكتروني</t>
        </is>
      </c>
      <c r="D26" s="15" t="inlineStr">
        <is>
          <t>التقنية والذكاء الاصطناعي</t>
        </is>
      </c>
      <c r="E26" s="41" t="inlineStr">
        <is>
          <t>صالح الغفيلي</t>
        </is>
      </c>
      <c r="F26" s="53" t="inlineStr">
        <is>
          <t>جاري العمل عليه</t>
        </is>
      </c>
    </row>
    <row r="27" ht="30" customHeight="1">
      <c r="B27" s="15" t="n">
        <v>24</v>
      </c>
      <c r="C27" s="17" t="inlineStr">
        <is>
          <t>استضافة البنية التحتية لمركز التأمين الصحي الوطني</t>
        </is>
      </c>
      <c r="D27" s="15" t="inlineStr">
        <is>
          <t>التقنية والذكاء الاصطناعي</t>
        </is>
      </c>
      <c r="E27" s="41" t="inlineStr">
        <is>
          <t>صالح الغفيلي</t>
        </is>
      </c>
      <c r="F27" s="53" t="inlineStr">
        <is>
          <t>جاري العمل عليه</t>
        </is>
      </c>
    </row>
    <row r="28" ht="30" customHeight="1">
      <c r="B28" s="15" t="n">
        <v>25</v>
      </c>
      <c r="C28" s="17" t="inlineStr">
        <is>
          <t>اعداد نظام التلفونات لمركز التأمين الصحي الوطني</t>
        </is>
      </c>
      <c r="D28" s="15" t="inlineStr">
        <is>
          <t>التقنية والذكاء الاصطناعي</t>
        </is>
      </c>
      <c r="E28" s="41" t="inlineStr">
        <is>
          <t>صالح الغفيلي</t>
        </is>
      </c>
      <c r="F28" s="53" t="inlineStr">
        <is>
          <t>جاري العمل عليه</t>
        </is>
      </c>
    </row>
    <row r="29" ht="30" customHeight="1">
      <c r="B29" s="15" t="n">
        <v>26</v>
      </c>
      <c r="C29" s="17" t="inlineStr">
        <is>
          <t>مراجعة وتحديث معايير ترميز الأمراض والإجراءات الطبية</t>
        </is>
      </c>
      <c r="D29" s="15" t="inlineStr">
        <is>
          <t>الترميز الطبي وحساب التكاليف</t>
        </is>
      </c>
      <c r="E29" s="41" t="inlineStr">
        <is>
          <t>صالح الغفيلي</t>
        </is>
      </c>
      <c r="F29" s="53" t="inlineStr">
        <is>
          <t>جاري العمل عليه</t>
        </is>
      </c>
    </row>
    <row r="30" ht="30" customHeight="1">
      <c r="B30" s="15" t="n">
        <v>27</v>
      </c>
      <c r="C30" s="17" t="inlineStr">
        <is>
          <t>مشروع البوابة الإلكترونية لجمع البيانات الطبية المرمزة (المرحلة الثالثة)</t>
        </is>
      </c>
      <c r="D30" s="15" t="inlineStr">
        <is>
          <t>التقنية والذكاء الاصطناعي</t>
        </is>
      </c>
      <c r="E30" s="41" t="inlineStr">
        <is>
          <t>صالح الغفيلي</t>
        </is>
      </c>
      <c r="F30" s="53" t="inlineStr">
        <is>
          <t>جاري العمل عليه</t>
        </is>
      </c>
    </row>
    <row r="31" ht="30" customHeight="1">
      <c r="B31" s="15" t="n">
        <v>28</v>
      </c>
      <c r="C31" s="17" t="inlineStr">
        <is>
          <t>مشروع تأسيس البنية التحتية لمركز بيانات برنامج الضمان الصحي وشراء الخدمات الصحية</t>
        </is>
      </c>
      <c r="D31" s="15" t="inlineStr">
        <is>
          <t>التقنية والذكاء الاصطناعي</t>
        </is>
      </c>
      <c r="E31" s="41" t="inlineStr">
        <is>
          <t>صالح الغفيلي</t>
        </is>
      </c>
      <c r="F31" s="53" t="inlineStr">
        <is>
          <t>جاري العمل عليه</t>
        </is>
      </c>
    </row>
    <row r="32" ht="30" customHeight="1">
      <c r="B32" s="15" t="n">
        <v>29</v>
      </c>
      <c r="C32" s="17" t="inlineStr">
        <is>
          <t>مشروع نظام الاتصالات الإدارية وإدارة اللجان والاجتماعات</t>
        </is>
      </c>
      <c r="D32" s="15" t="inlineStr">
        <is>
          <t>التقنية والذكاء الاصطناعي</t>
        </is>
      </c>
      <c r="E32" s="41" t="inlineStr">
        <is>
          <t>صالح الغفيلي</t>
        </is>
      </c>
      <c r="F32" s="53" t="inlineStr">
        <is>
          <t>جاري العمل عليه</t>
        </is>
      </c>
    </row>
    <row r="33" ht="30" customHeight="1">
      <c r="B33" s="15" t="n">
        <v>30</v>
      </c>
      <c r="C33" s="17" t="inlineStr">
        <is>
          <t>مشروع بناء قدرات تحليل البيانات وتشغيلها لبرنامج الضمان الصحي وشراء الخدمات</t>
        </is>
      </c>
      <c r="D33" s="15" t="inlineStr">
        <is>
          <t>التقنية والذكاء الاصطناعي</t>
        </is>
      </c>
      <c r="E33" s="41" t="inlineStr">
        <is>
          <t>صالح الغفيلي</t>
        </is>
      </c>
      <c r="F33" s="53" t="inlineStr">
        <is>
          <t>جاري العمل عليه</t>
        </is>
      </c>
    </row>
    <row r="34" ht="30" customHeight="1">
      <c r="B34" s="15" t="n">
        <v>31</v>
      </c>
      <c r="C34" s="17" t="inlineStr">
        <is>
          <t>خدمات الصيانة والتشغيل لمركز التأمين الصحي الوطني</t>
        </is>
      </c>
      <c r="D34" s="15" t="inlineStr">
        <is>
          <t>الموارد البشرية</t>
        </is>
      </c>
      <c r="E34" s="41" t="inlineStr">
        <is>
          <t>مشعل محمد</t>
        </is>
      </c>
      <c r="F34" s="53" t="inlineStr">
        <is>
          <t>جاري العمل عليه</t>
        </is>
      </c>
    </row>
    <row r="35" ht="30" customHeight="1">
      <c r="B35" s="15" t="n">
        <v>32</v>
      </c>
      <c r="C35" s="17" t="inlineStr">
        <is>
          <t>تقديم الخدمات الاستشارية والدعم المساند لعمليات التشغيل لمركز التأمين الصحي الوطني</t>
        </is>
      </c>
      <c r="D35" s="15" t="inlineStr">
        <is>
          <t>الموارد البشرية</t>
        </is>
      </c>
      <c r="E35" s="41" t="inlineStr">
        <is>
          <t>مشعل محمد</t>
        </is>
      </c>
      <c r="F35" s="53" t="inlineStr">
        <is>
          <t>جاري العمل عليه</t>
        </is>
      </c>
    </row>
    <row r="36" ht="30" customHeight="1">
      <c r="B36" s="15" t="n">
        <v>33</v>
      </c>
      <c r="C36" s="17" t="inlineStr">
        <is>
          <t>مشروع تفعيل أدوار مركز التأمين الصحي الوطني في المنظومة الصحية المرحلة الأولى</t>
        </is>
      </c>
      <c r="D36" s="15" t="inlineStr">
        <is>
          <t>الموارد البشرية</t>
        </is>
      </c>
      <c r="E36" s="41" t="inlineStr">
        <is>
          <t>مشعل محمد</t>
        </is>
      </c>
      <c r="F36" s="53" t="inlineStr">
        <is>
          <t>جاري العمل عليه</t>
        </is>
      </c>
    </row>
    <row r="37" ht="30" customHeight="1">
      <c r="B37" s="15" t="n">
        <v>34</v>
      </c>
      <c r="C37" s="17" t="inlineStr">
        <is>
          <t>الحوكمة ونموذج التشغيل والمخطط الرقمي</t>
        </is>
      </c>
      <c r="D37" s="15" t="inlineStr">
        <is>
          <t>التواصل والعناية بالمستفيدين</t>
        </is>
      </c>
      <c r="E37" s="41" t="inlineStr">
        <is>
          <t>مشعل محمد</t>
        </is>
      </c>
      <c r="F37" s="53" t="inlineStr">
        <is>
          <t>جاري العمل عليه</t>
        </is>
      </c>
    </row>
    <row r="40">
      <c r="B40" s="5" t="inlineStr">
        <is>
          <t>ملخص المشاريع</t>
        </is>
      </c>
      <c r="C40" s="4" t="n"/>
      <c r="D40" s="4" t="n"/>
      <c r="E40" s="4" t="n"/>
      <c r="F40" s="4" t="n"/>
    </row>
    <row r="41">
      <c r="B41" s="50" t="inlineStr">
        <is>
          <t>إجمالي المشاريع</t>
        </is>
      </c>
      <c r="C41" s="4" t="n"/>
      <c r="D41" s="4" t="n"/>
      <c r="E41" s="20">
        <f>COUNTA(C4:C38)</f>
        <v/>
      </c>
      <c r="F41" s="4" t="n"/>
    </row>
    <row r="42">
      <c r="B42" s="50" t="inlineStr">
        <is>
          <t>مكتمل ومغلق</t>
        </is>
      </c>
      <c r="C42" s="4" t="n"/>
      <c r="D42" s="4" t="n"/>
      <c r="E42" s="20">
        <f>COUNTIF(F4:F38,"مكتمل ومغلق")</f>
        <v/>
      </c>
      <c r="F42" s="4" t="n"/>
    </row>
    <row r="43">
      <c r="B43" s="50" t="inlineStr">
        <is>
          <t>جاري العمل عليه</t>
        </is>
      </c>
      <c r="C43" s="4" t="n"/>
      <c r="D43" s="4" t="n"/>
      <c r="E43" s="20">
        <f>COUNTIF(F4:F38,"جاري العمل عليه")</f>
        <v/>
      </c>
      <c r="F43" s="4" t="n"/>
    </row>
    <row r="44">
      <c r="B44" s="50" t="inlineStr">
        <is>
          <t>متوقف</t>
        </is>
      </c>
      <c r="C44" s="4" t="n"/>
      <c r="D44" s="4" t="n"/>
      <c r="E44" s="20">
        <f>COUNTIF(F4:F38,"متوقف")</f>
        <v/>
      </c>
      <c r="F44" s="4" t="n"/>
    </row>
  </sheetData>
  <mergeCells count="10">
    <mergeCell ref="E43:F43"/>
    <mergeCell ref="B42:D42"/>
    <mergeCell ref="B41:D41"/>
    <mergeCell ref="E41:F41"/>
    <mergeCell ref="E42:F42"/>
    <mergeCell ref="B44:D44"/>
    <mergeCell ref="B1:F1"/>
    <mergeCell ref="B43:D43"/>
    <mergeCell ref="B40:F40"/>
    <mergeCell ref="E44:F44"/>
  </mergeCells>
  <conditionalFormatting sqref="F4:F38">
    <cfRule type="cellIs" priority="1" operator="equal" dxfId="0">
      <formula>"مكتمل ومغلق"</formula>
    </cfRule>
    <cfRule type="cellIs" priority="2" operator="equal" dxfId="2">
      <formula>"جاري العمل عليه"</formula>
    </cfRule>
    <cfRule type="cellIs" priority="3" operator="equal" dxfId="1">
      <formula>"متوقف"</formula>
    </cfRule>
  </conditionalFormatting>
  <dataValidations count="1">
    <dataValidation sqref="F4 F5 F6 F7 F8 F9 F10 F11 F12 F13 F14 F15 F16 F17 F18 F19 F20 F21 F22 F23 F24 F25 F26 F27 F28 F29 F30 F31 F32 F33 F34 F35 F36 F37" showDropDown="0" showInputMessage="0" showErrorMessage="0" allowBlank="1" type="list">
      <formula1>"مكتمل ومغلق,جاري العمل عليه,متوقف,لم يبدأ"</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FF6F00"/>
    <outlinePr summaryBelow="1" summaryRight="1"/>
    <pageSetUpPr/>
  </sheetPr>
  <dimension ref="B1:E8"/>
  <sheetViews>
    <sheetView rightToLeft="1" workbookViewId="0">
      <selection activeCell="A1" sqref="A1"/>
    </sheetView>
  </sheetViews>
  <sheetFormatPr baseColWidth="8" defaultRowHeight="15"/>
  <cols>
    <col width="5" customWidth="1" min="1" max="1"/>
    <col width="22" customWidth="1" min="2" max="2"/>
    <col width="15" customWidth="1" min="3" max="3"/>
    <col width="25" customWidth="1" min="4" max="4"/>
    <col width="70" customWidth="1" min="5" max="5"/>
  </cols>
  <sheetData>
    <row r="1">
      <c r="B1" s="3" t="inlineStr">
        <is>
          <t>تعريف تقييم الأداء - Performance Rating Definition</t>
        </is>
      </c>
      <c r="C1" s="4" t="n"/>
      <c r="D1" s="4" t="n"/>
      <c r="E1" s="4" t="n"/>
    </row>
    <row r="3" ht="40" customHeight="1">
      <c r="B3" s="14" t="inlineStr">
        <is>
          <t>مقياس الإنجاز
Achievement Scale</t>
        </is>
      </c>
      <c r="C3" s="14" t="inlineStr">
        <is>
          <t>الدرجة
Rating Score</t>
        </is>
      </c>
      <c r="D3" s="14" t="inlineStr">
        <is>
          <t>التصنيف
Rating</t>
        </is>
      </c>
      <c r="E3" s="14" t="inlineStr">
        <is>
          <t>التعريف
Rating Definitions</t>
        </is>
      </c>
    </row>
    <row r="4" ht="55" customHeight="1">
      <c r="B4" s="54" t="inlineStr">
        <is>
          <t>0 - 70</t>
        </is>
      </c>
      <c r="C4" s="55" t="n">
        <v>1</v>
      </c>
      <c r="D4" s="56" t="inlineStr">
        <is>
          <t>Unsatisfactory</t>
        </is>
      </c>
      <c r="E4" s="57" t="inlineStr">
        <is>
          <t>غير مرضي: لم يحقق الأهداف الرئيسية أو معايير الأداء. يتطلب تحسين فوري.</t>
        </is>
      </c>
    </row>
    <row r="5" ht="55" customHeight="1">
      <c r="B5" s="58" t="inlineStr">
        <is>
          <t>71 - 85</t>
        </is>
      </c>
      <c r="C5" s="59" t="n">
        <v>2</v>
      </c>
      <c r="D5" s="60" t="inlineStr">
        <is>
          <t>Needs Improvement</t>
        </is>
      </c>
      <c r="E5" s="61" t="inlineStr">
        <is>
          <t>يحتاج تحسين: حقق بعض الأهداف لكن يوجد فجوات تتطلب تطوير إضافي.</t>
        </is>
      </c>
    </row>
    <row r="6" ht="55" customHeight="1">
      <c r="B6" s="54" t="inlineStr">
        <is>
          <t>86 - 100</t>
        </is>
      </c>
      <c r="C6" s="55" t="n">
        <v>3</v>
      </c>
      <c r="D6" s="56" t="inlineStr">
        <is>
          <t>Meets Expectations</t>
        </is>
      </c>
      <c r="E6" s="57" t="inlineStr">
        <is>
          <t>يلبي التوقعات: حقق جميع الأهداف المحددة وقدم نتائج متسقة مع الأداء المتوقع.</t>
        </is>
      </c>
    </row>
    <row r="7" ht="55" customHeight="1">
      <c r="B7" s="58" t="inlineStr">
        <is>
          <t>101 - 119</t>
        </is>
      </c>
      <c r="C7" s="59" t="n">
        <v>4</v>
      </c>
      <c r="D7" s="60" t="inlineStr">
        <is>
          <t>Exceeds Expectations</t>
        </is>
      </c>
      <c r="E7" s="61" t="inlineStr">
        <is>
          <t>يتجاوز التوقعات: حقق جميع الأهداف وقدم مبادرة ذات أثر قابل للقياس على مستوى القطاع.</t>
        </is>
      </c>
    </row>
    <row r="8" ht="55" customHeight="1">
      <c r="B8" s="54" t="inlineStr">
        <is>
          <t>120 - 130</t>
        </is>
      </c>
      <c r="C8" s="55" t="n">
        <v>5</v>
      </c>
      <c r="D8" s="56" t="inlineStr">
        <is>
          <t>Outstanding</t>
        </is>
      </c>
      <c r="E8" s="57" t="inlineStr">
        <is>
          <t>متميز: حقق نتائج استثنائية ذات أثر إيجابي على مستوى المركز. أظهر ابتكاراً وقيادة تتجاوز نطاق العمل.</t>
        </is>
      </c>
    </row>
  </sheetData>
  <mergeCells count="1">
    <mergeCell ref="B1:E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2026-04-12T11:43:25Z</dcterms:created>
  <dcterms:modified xsi:type="dcterms:W3CDTF">2026-04-12T11:43:26Z</dcterms:modified>
</cp:coreProperties>
</file>